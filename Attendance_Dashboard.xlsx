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28F74EB1FDBB9EA9/Desktop/Attendance-Dashboard/"/>
    </mc:Choice>
  </mc:AlternateContent>
  <xr:revisionPtr revIDLastSave="0" documentId="8_{25C0462B-830F-4D7D-8910-298B1CBCFB73}" xr6:coauthVersionLast="47" xr6:coauthVersionMax="47" xr10:uidLastSave="{00000000-0000-0000-0000-000000000000}"/>
  <bookViews>
    <workbookView xWindow="-108" yWindow="-108" windowWidth="23256" windowHeight="12456" activeTab="2" xr2:uid="{83D91E7F-DAAE-4E54-BFFE-92062E07AF75}"/>
  </bookViews>
  <sheets>
    <sheet name="Attendance" sheetId="1" r:id="rId1"/>
    <sheet name="Summary" sheetId="2" r:id="rId2"/>
    <sheet name="Dashboard Sheet" sheetId="3" r:id="rId3"/>
  </sheets>
  <definedNames>
    <definedName name="Slicer_Attendance_Status">#N/A</definedName>
    <definedName name="Slicer_Gender">#N/A</definedName>
    <definedName name="Slicer_Subje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G5" i="3"/>
  <c r="E5" i="3"/>
  <c r="C5" i="3"/>
  <c r="A5" i="3"/>
  <c r="E3" i="2"/>
  <c r="E4" i="2"/>
  <c r="E5" i="2"/>
  <c r="E2" i="2"/>
  <c r="D3" i="2"/>
  <c r="D4" i="2"/>
  <c r="D5" i="2"/>
  <c r="D2" i="2"/>
  <c r="C3" i="2"/>
  <c r="C4" i="2"/>
  <c r="C5" i="2"/>
  <c r="C2" i="2"/>
  <c r="B3" i="2"/>
  <c r="B4" i="2"/>
  <c r="B5" i="2"/>
  <c r="B2"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alcChain>
</file>

<file path=xl/sharedStrings.xml><?xml version="1.0" encoding="utf-8"?>
<sst xmlns="http://schemas.openxmlformats.org/spreadsheetml/2006/main" count="437" uniqueCount="79">
  <si>
    <t>Date</t>
  </si>
  <si>
    <t>Student_ID</t>
  </si>
  <si>
    <t>Student_Name</t>
  </si>
  <si>
    <t>Gender</t>
  </si>
  <si>
    <t>Course</t>
  </si>
  <si>
    <t>Subject</t>
  </si>
  <si>
    <t>Teacher</t>
  </si>
  <si>
    <t>Attendance_Status</t>
  </si>
  <si>
    <t>Attendance_Mode</t>
  </si>
  <si>
    <t>Marks</t>
  </si>
  <si>
    <t>Assignment_Submitted</t>
  </si>
  <si>
    <t>Remarks</t>
  </si>
  <si>
    <t>ST101</t>
  </si>
  <si>
    <t>Aarav Sharma</t>
  </si>
  <si>
    <t>Male</t>
  </si>
  <si>
    <t>BBA</t>
  </si>
  <si>
    <t>Accounts</t>
  </si>
  <si>
    <t>Meena Gupta</t>
  </si>
  <si>
    <t>Present</t>
  </si>
  <si>
    <t>Offline</t>
  </si>
  <si>
    <t>Yes</t>
  </si>
  <si>
    <t>Good Participation</t>
  </si>
  <si>
    <t>ST102</t>
  </si>
  <si>
    <t>Riya Verma</t>
  </si>
  <si>
    <t>Female</t>
  </si>
  <si>
    <t>Absent</t>
  </si>
  <si>
    <t>No</t>
  </si>
  <si>
    <t>Medical Leave</t>
  </si>
  <si>
    <t>ST103</t>
  </si>
  <si>
    <t>Kabir Singh</t>
  </si>
  <si>
    <t>Late</t>
  </si>
  <si>
    <t>Late Arrival</t>
  </si>
  <si>
    <t>ST104</t>
  </si>
  <si>
    <t>Ananya Jain</t>
  </si>
  <si>
    <t>Excellent</t>
  </si>
  <si>
    <t>Economics</t>
  </si>
  <si>
    <t>Ravi Khanna</t>
  </si>
  <si>
    <t>Online</t>
  </si>
  <si>
    <t>Active Student</t>
  </si>
  <si>
    <t>Improved</t>
  </si>
  <si>
    <t>Sick Leave</t>
  </si>
  <si>
    <t>Top Performer</t>
  </si>
  <si>
    <t>Marketing</t>
  </si>
  <si>
    <t>Simran Kaur</t>
  </si>
  <si>
    <t>Traffic Delay</t>
  </si>
  <si>
    <t>Good</t>
  </si>
  <si>
    <t>Interactive</t>
  </si>
  <si>
    <t>Statistics</t>
  </si>
  <si>
    <t>Aman Bhatia</t>
  </si>
  <si>
    <t>Analytical</t>
  </si>
  <si>
    <t>Network Delay</t>
  </si>
  <si>
    <t>Consistent</t>
  </si>
  <si>
    <t>Family Function</t>
  </si>
  <si>
    <t>Business Law</t>
  </si>
  <si>
    <t>Neha Arora</t>
  </si>
  <si>
    <t>Disciplined</t>
  </si>
  <si>
    <t>Focused</t>
  </si>
  <si>
    <t>Outstanding</t>
  </si>
  <si>
    <t>Regular</t>
  </si>
  <si>
    <t>Active</t>
  </si>
  <si>
    <t>Late Bus</t>
  </si>
  <si>
    <t>Participative</t>
  </si>
  <si>
    <t>Creative</t>
  </si>
  <si>
    <t>Late Entry</t>
  </si>
  <si>
    <t>Personal Reason</t>
  </si>
  <si>
    <t>Traffic</t>
  </si>
  <si>
    <t>Attendance_Score</t>
  </si>
  <si>
    <t>Total Classes</t>
  </si>
  <si>
    <t>Attendance Score</t>
  </si>
  <si>
    <t>Attendance %</t>
  </si>
  <si>
    <t>Total Students</t>
  </si>
  <si>
    <t>Sum of Attendance_Score</t>
  </si>
  <si>
    <t>Average of Marks</t>
  </si>
  <si>
    <t>Present Count</t>
  </si>
  <si>
    <t>Absent Count</t>
  </si>
  <si>
    <t>Average Marks</t>
  </si>
  <si>
    <t>Average Attendance %</t>
  </si>
  <si>
    <t>STUDENT ATTENDANCE &amp; PERFORMANCE DASHBOARD</t>
  </si>
  <si>
    <t>Prepared by Naman Gaur | Excel Analytics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</si>
</sst>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sz val="8"/>
      <name val="Aptos Narrow"/>
      <family val="2"/>
      <scheme val="minor"/>
    </font>
    <font>
      <b/>
      <sz val="11"/>
      <color theme="0" tint="-4.9989318521683403E-2"/>
      <name val="Aptos Narrow"/>
      <family val="2"/>
      <scheme val="minor"/>
    </font>
    <font>
      <b/>
      <sz val="24"/>
      <color theme="1"/>
      <name val="Aptos Narrow"/>
      <family val="2"/>
      <scheme val="minor"/>
    </font>
    <font>
      <sz val="11"/>
      <color rgb="FF000099"/>
      <name val="Aptos Narrow"/>
      <family val="2"/>
      <scheme val="minor"/>
    </font>
  </fonts>
  <fills count="11">
    <fill>
      <patternFill patternType="none"/>
    </fill>
    <fill>
      <patternFill patternType="gray125"/>
    </fill>
    <fill>
      <patternFill patternType="solid">
        <fgColor theme="7" tint="0.79998168889431442"/>
        <bgColor theme="7" tint="0.79998168889431442"/>
      </patternFill>
    </fill>
    <fill>
      <patternFill patternType="solid">
        <fgColor theme="3" tint="0.499984740745262"/>
        <bgColor indexed="64"/>
      </patternFill>
    </fill>
    <fill>
      <patternFill patternType="solid">
        <fgColor theme="9" tint="-0.249977111117893"/>
        <bgColor indexed="64"/>
      </patternFill>
    </fill>
    <fill>
      <patternFill patternType="solid">
        <fgColor rgb="FFFF0000"/>
        <bgColor indexed="64"/>
      </patternFill>
    </fill>
    <fill>
      <patternFill patternType="solid">
        <fgColor rgb="FF7030A0"/>
        <bgColor indexed="64"/>
      </patternFill>
    </fill>
    <fill>
      <patternFill patternType="solid">
        <fgColor theme="4"/>
        <bgColor indexed="64"/>
      </patternFill>
    </fill>
    <fill>
      <patternFill patternType="solid">
        <fgColor theme="6" tint="0.39997558519241921"/>
        <bgColor indexed="64"/>
      </patternFill>
    </fill>
    <fill>
      <patternFill patternType="solid">
        <fgColor rgb="FF00B0F0"/>
        <bgColor indexed="64"/>
      </patternFill>
    </fill>
    <fill>
      <patternFill patternType="solid">
        <fgColor theme="4" tint="0.39997558519241921"/>
        <bgColor indexed="64"/>
      </patternFill>
    </fill>
  </fills>
  <borders count="8">
    <border>
      <left/>
      <right/>
      <top/>
      <bottom/>
      <diagonal/>
    </border>
    <border>
      <left/>
      <right/>
      <top style="thin">
        <color theme="7" tint="0.39997558519241921"/>
      </top>
      <bottom style="thin">
        <color theme="7"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xf>
    <xf numFmtId="0" fontId="0" fillId="2" borderId="1" xfId="0" applyFill="1" applyBorder="1" applyAlignment="1">
      <alignment vertical="center" wrapText="1"/>
    </xf>
    <xf numFmtId="0" fontId="0" fillId="0" borderId="1" xfId="0" applyBorder="1" applyAlignment="1">
      <alignment vertical="center" wrapText="1"/>
    </xf>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0" fontId="0" fillId="9" borderId="0" xfId="0" applyFill="1"/>
    <xf numFmtId="0" fontId="2" fillId="10" borderId="0" xfId="0" applyFont="1" applyFill="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xf>
    <xf numFmtId="0" fontId="5" fillId="6" borderId="0" xfId="0" applyFont="1" applyFill="1" applyAlignment="1">
      <alignment horizontal="center"/>
    </xf>
    <xf numFmtId="10" fontId="6" fillId="0" borderId="3" xfId="1" applyNumberFormat="1" applyFont="1" applyBorder="1" applyAlignment="1">
      <alignment horizontal="center" vertical="center"/>
    </xf>
    <xf numFmtId="10" fontId="6" fillId="0" borderId="6" xfId="1" applyNumberFormat="1" applyFont="1" applyBorder="1" applyAlignment="1">
      <alignment horizontal="center" vertical="center"/>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3" fillId="3" borderId="0" xfId="0" applyFont="1" applyFill="1" applyAlignment="1">
      <alignment horizontal="center" vertical="center"/>
    </xf>
    <xf numFmtId="0" fontId="5" fillId="7" borderId="0" xfId="0" applyFont="1" applyFill="1" applyAlignment="1">
      <alignment horizontal="center"/>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5" fillId="8" borderId="0" xfId="0" applyFont="1" applyFill="1" applyAlignment="1">
      <alignment horizontal="center"/>
    </xf>
    <xf numFmtId="0" fontId="5" fillId="4" borderId="0" xfId="0" applyFont="1" applyFill="1" applyAlignment="1">
      <alignment horizontal="center" vertical="center" wrapText="1"/>
    </xf>
    <xf numFmtId="0" fontId="5" fillId="5" borderId="0" xfId="0" applyFont="1" applyFill="1" applyAlignment="1">
      <alignment horizontal="center"/>
    </xf>
  </cellXfs>
  <cellStyles count="2">
    <cellStyle name="Normal" xfId="0" builtinId="0"/>
    <cellStyle name="Percent" xfId="1" builtinId="5"/>
  </cellStyles>
  <dxfs count="18">
    <dxf>
      <font>
        <color rgb="FF006100"/>
      </font>
      <fill>
        <patternFill>
          <bgColor rgb="FFC6EFCE"/>
        </patternFill>
      </fill>
    </dxf>
    <dxf>
      <font>
        <color rgb="FF9C0006"/>
      </font>
      <fill>
        <patternFill>
          <bgColor rgb="FFFFC7CE"/>
        </patternFill>
      </fill>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64" formatCode="0.0"/>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[Attendance_Dashboard.xlsx]Dashboard Sheet!PivotTable2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Subject-wise Attendance &amp; Marks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Sheet'!$B$8</c:f>
              <c:strCache>
                <c:ptCount val="1"/>
                <c:pt idx="0">
                  <c:v>Sum of Attendance_Score</c:v>
                </c:pt>
              </c:strCache>
            </c:strRef>
          </c:tx>
          <c:spPr>
            <a:solidFill>
              <a:schemeClr val="accent1"/>
            </a:solidFill>
            <a:ln>
              <a:noFill/>
            </a:ln>
            <a:effectLst/>
          </c:spPr>
          <c:invertIfNegative val="0"/>
          <c:cat>
            <c:strRef>
              <c:f>'Dashboard Sheet'!$A$9:$A$13</c:f>
              <c:strCache>
                <c:ptCount val="5"/>
                <c:pt idx="0">
                  <c:v>Accounts</c:v>
                </c:pt>
                <c:pt idx="1">
                  <c:v>Business Law</c:v>
                </c:pt>
                <c:pt idx="2">
                  <c:v>Economics</c:v>
                </c:pt>
                <c:pt idx="3">
                  <c:v>Marketing</c:v>
                </c:pt>
                <c:pt idx="4">
                  <c:v>Statistics</c:v>
                </c:pt>
              </c:strCache>
            </c:strRef>
          </c:cat>
          <c:val>
            <c:numRef>
              <c:f>'Dashboard Sheet'!$B$9:$B$13</c:f>
              <c:numCache>
                <c:formatCode>General</c:formatCode>
                <c:ptCount val="5"/>
                <c:pt idx="0">
                  <c:v>5</c:v>
                </c:pt>
                <c:pt idx="1">
                  <c:v>7</c:v>
                </c:pt>
                <c:pt idx="2">
                  <c:v>6</c:v>
                </c:pt>
                <c:pt idx="3">
                  <c:v>7</c:v>
                </c:pt>
                <c:pt idx="4">
                  <c:v>5.5</c:v>
                </c:pt>
              </c:numCache>
            </c:numRef>
          </c:val>
          <c:extLst>
            <c:ext xmlns:c16="http://schemas.microsoft.com/office/drawing/2014/chart" uri="{C3380CC4-5D6E-409C-BE32-E72D297353CC}">
              <c16:uniqueId val="{00000000-019B-4E51-BBD0-4C73607F64A0}"/>
            </c:ext>
          </c:extLst>
        </c:ser>
        <c:dLbls>
          <c:showLegendKey val="0"/>
          <c:showVal val="0"/>
          <c:showCatName val="0"/>
          <c:showSerName val="0"/>
          <c:showPercent val="0"/>
          <c:showBubbleSize val="0"/>
        </c:dLbls>
        <c:gapWidth val="219"/>
        <c:axId val="1404311152"/>
        <c:axId val="1404310672"/>
      </c:barChart>
      <c:lineChart>
        <c:grouping val="standard"/>
        <c:varyColors val="0"/>
        <c:ser>
          <c:idx val="1"/>
          <c:order val="1"/>
          <c:tx>
            <c:strRef>
              <c:f>'Dashboard Sheet'!$C$8</c:f>
              <c:strCache>
                <c:ptCount val="1"/>
                <c:pt idx="0">
                  <c:v>Average of Marks</c:v>
                </c:pt>
              </c:strCache>
            </c:strRef>
          </c:tx>
          <c:spPr>
            <a:ln w="28575" cap="rnd">
              <a:solidFill>
                <a:schemeClr val="accent2"/>
              </a:solidFill>
              <a:round/>
            </a:ln>
            <a:effectLst/>
          </c:spPr>
          <c:marker>
            <c:symbol val="none"/>
          </c:marker>
          <c:cat>
            <c:strRef>
              <c:f>'Dashboard Sheet'!$A$9:$A$13</c:f>
              <c:strCache>
                <c:ptCount val="5"/>
                <c:pt idx="0">
                  <c:v>Accounts</c:v>
                </c:pt>
                <c:pt idx="1">
                  <c:v>Business Law</c:v>
                </c:pt>
                <c:pt idx="2">
                  <c:v>Economics</c:v>
                </c:pt>
                <c:pt idx="3">
                  <c:v>Marketing</c:v>
                </c:pt>
                <c:pt idx="4">
                  <c:v>Statistics</c:v>
                </c:pt>
              </c:strCache>
            </c:strRef>
          </c:cat>
          <c:val>
            <c:numRef>
              <c:f>'Dashboard Sheet'!$C$9:$C$13</c:f>
              <c:numCache>
                <c:formatCode>0.0</c:formatCode>
                <c:ptCount val="5"/>
                <c:pt idx="0">
                  <c:v>75.375</c:v>
                </c:pt>
                <c:pt idx="1">
                  <c:v>82.625</c:v>
                </c:pt>
                <c:pt idx="2">
                  <c:v>78.875</c:v>
                </c:pt>
                <c:pt idx="3">
                  <c:v>82.125</c:v>
                </c:pt>
                <c:pt idx="4">
                  <c:v>77.25</c:v>
                </c:pt>
              </c:numCache>
            </c:numRef>
          </c:val>
          <c:smooth val="0"/>
          <c:extLst>
            <c:ext xmlns:c16="http://schemas.microsoft.com/office/drawing/2014/chart" uri="{C3380CC4-5D6E-409C-BE32-E72D297353CC}">
              <c16:uniqueId val="{00000001-019B-4E51-BBD0-4C73607F64A0}"/>
            </c:ext>
          </c:extLst>
        </c:ser>
        <c:dLbls>
          <c:showLegendKey val="0"/>
          <c:showVal val="0"/>
          <c:showCatName val="0"/>
          <c:showSerName val="0"/>
          <c:showPercent val="0"/>
          <c:showBubbleSize val="0"/>
        </c:dLbls>
        <c:marker val="1"/>
        <c:smooth val="0"/>
        <c:axId val="1411692480"/>
        <c:axId val="1411692960"/>
      </c:lineChart>
      <c:catAx>
        <c:axId val="14116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92960"/>
        <c:crosses val="autoZero"/>
        <c:auto val="1"/>
        <c:lblAlgn val="ctr"/>
        <c:lblOffset val="100"/>
        <c:noMultiLvlLbl val="0"/>
      </c:catAx>
      <c:valAx>
        <c:axId val="1411692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92480"/>
        <c:crosses val="autoZero"/>
        <c:crossBetween val="between"/>
      </c:valAx>
      <c:valAx>
        <c:axId val="1404310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311152"/>
        <c:crosses val="max"/>
        <c:crossBetween val="between"/>
      </c:valAx>
      <c:catAx>
        <c:axId val="1404311152"/>
        <c:scaling>
          <c:orientation val="minMax"/>
        </c:scaling>
        <c:delete val="1"/>
        <c:axPos val="b"/>
        <c:numFmt formatCode="General" sourceLinked="1"/>
        <c:majorTickMark val="out"/>
        <c:minorTickMark val="none"/>
        <c:tickLblPos val="nextTo"/>
        <c:crossAx val="1404310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512381</xdr:colOff>
      <xdr:row>6</xdr:row>
      <xdr:rowOff>168165</xdr:rowOff>
    </xdr:from>
    <xdr:to>
      <xdr:col>11</xdr:col>
      <xdr:colOff>257503</xdr:colOff>
      <xdr:row>21</xdr:row>
      <xdr:rowOff>15765</xdr:rowOff>
    </xdr:to>
    <xdr:graphicFrame macro="">
      <xdr:nvGraphicFramePr>
        <xdr:cNvPr id="3" name="Attendance and Marks Analysis">
          <a:extLst>
            <a:ext uri="{FF2B5EF4-FFF2-40B4-BE49-F238E27FC236}">
              <a16:creationId xmlns:a16="http://schemas.microsoft.com/office/drawing/2014/main" id="{95CF6469-D6B7-CC42-E663-45B516C48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423041</xdr:colOff>
      <xdr:row>2</xdr:row>
      <xdr:rowOff>61749</xdr:rowOff>
    </xdr:from>
    <xdr:to>
      <xdr:col>14</xdr:col>
      <xdr:colOff>181303</xdr:colOff>
      <xdr:row>7</xdr:row>
      <xdr:rowOff>136634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201BCFB5-DD36-58CC-66F6-B76E1752B1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52641" y="430049"/>
              <a:ext cx="1828362" cy="1008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423041</xdr:colOff>
      <xdr:row>8</xdr:row>
      <xdr:rowOff>64507</xdr:rowOff>
    </xdr:from>
    <xdr:to>
      <xdr:col>14</xdr:col>
      <xdr:colOff>181303</xdr:colOff>
      <xdr:row>15</xdr:row>
      <xdr:rowOff>6408</xdr:rowOff>
    </xdr:to>
    <mc:AlternateContent xmlns:mc="http://schemas.openxmlformats.org/markup-compatibility/2006" xmlns:a14="http://schemas.microsoft.com/office/drawing/2010/main">
      <mc:Choice Requires="a14">
        <xdr:graphicFrame macro="">
          <xdr:nvGraphicFramePr>
            <xdr:cNvPr id="5" name="Subject">
              <a:extLst>
                <a:ext uri="{FF2B5EF4-FFF2-40B4-BE49-F238E27FC236}">
                  <a16:creationId xmlns:a16="http://schemas.microsoft.com/office/drawing/2014/main" id="{ABD8755C-C01B-7F08-F4A3-90BD4220D9D0}"/>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8652641" y="1550407"/>
              <a:ext cx="1828362" cy="1230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423041</xdr:colOff>
      <xdr:row>15</xdr:row>
      <xdr:rowOff>117978</xdr:rowOff>
    </xdr:from>
    <xdr:to>
      <xdr:col>14</xdr:col>
      <xdr:colOff>181303</xdr:colOff>
      <xdr:row>22</xdr:row>
      <xdr:rowOff>94592</xdr:rowOff>
    </xdr:to>
    <mc:AlternateContent xmlns:mc="http://schemas.openxmlformats.org/markup-compatibility/2006" xmlns:a14="http://schemas.microsoft.com/office/drawing/2010/main">
      <mc:Choice Requires="a14">
        <xdr:graphicFrame macro="">
          <xdr:nvGraphicFramePr>
            <xdr:cNvPr id="6" name="Attendance_Status">
              <a:extLst>
                <a:ext uri="{FF2B5EF4-FFF2-40B4-BE49-F238E27FC236}">
                  <a16:creationId xmlns:a16="http://schemas.microsoft.com/office/drawing/2014/main" id="{5DA83995-44F0-1D07-02BE-067D807D1007}"/>
                </a:ext>
              </a:extLst>
            </xdr:cNvPr>
            <xdr:cNvGraphicFramePr/>
          </xdr:nvGraphicFramePr>
          <xdr:xfrm>
            <a:off x="0" y="0"/>
            <a:ext cx="0" cy="0"/>
          </xdr:xfrm>
          <a:graphic>
            <a:graphicData uri="http://schemas.microsoft.com/office/drawing/2010/slicer">
              <sle:slicer xmlns:sle="http://schemas.microsoft.com/office/drawing/2010/slicer" name="Attendance_Status"/>
            </a:graphicData>
          </a:graphic>
        </xdr:graphicFrame>
      </mc:Choice>
      <mc:Fallback xmlns="">
        <xdr:sp macro="" textlink="">
          <xdr:nvSpPr>
            <xdr:cNvPr id="0" name=""/>
            <xdr:cNvSpPr>
              <a:spLocks noTextEdit="1"/>
            </xdr:cNvSpPr>
          </xdr:nvSpPr>
          <xdr:spPr>
            <a:xfrm>
              <a:off x="8652641" y="2892928"/>
              <a:ext cx="1828362" cy="1265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an Gaur" refreshedDate="46159.861978587964" createdVersion="8" refreshedVersion="8" minRefreshableVersion="3" recordCount="40" xr:uid="{F4C9E714-E688-49D6-824B-C6F22974B3AA}">
  <cacheSource type="worksheet">
    <worksheetSource name="AttendanceTable"/>
  </cacheSource>
  <cacheFields count="13">
    <cacheField name="Date" numFmtId="14">
      <sharedItems containsSemiMixedTypes="0" containsNonDate="0" containsDate="1" containsString="0" minDate="2026-04-01T00:00:00" maxDate="2026-04-11T00:00:00"/>
    </cacheField>
    <cacheField name="Student_ID" numFmtId="0">
      <sharedItems/>
    </cacheField>
    <cacheField name="Student_Name" numFmtId="0">
      <sharedItems/>
    </cacheField>
    <cacheField name="Gender" numFmtId="0">
      <sharedItems count="2">
        <s v="Male"/>
        <s v="Female"/>
      </sharedItems>
    </cacheField>
    <cacheField name="Course" numFmtId="0">
      <sharedItems/>
    </cacheField>
    <cacheField name="Subject" numFmtId="0">
      <sharedItems count="5">
        <s v="Accounts"/>
        <s v="Economics"/>
        <s v="Marketing"/>
        <s v="Statistics"/>
        <s v="Business Law"/>
      </sharedItems>
    </cacheField>
    <cacheField name="Teacher" numFmtId="0">
      <sharedItems/>
    </cacheField>
    <cacheField name="Attendance_Status" numFmtId="0">
      <sharedItems count="3">
        <s v="Present"/>
        <s v="Absent"/>
        <s v="Late"/>
      </sharedItems>
    </cacheField>
    <cacheField name="Attendance_Score" numFmtId="0">
      <sharedItems containsSemiMixedTypes="0" containsString="0" containsNumber="1" minValue="0" maxValue="1"/>
    </cacheField>
    <cacheField name="Attendance_Mode" numFmtId="0">
      <sharedItems/>
    </cacheField>
    <cacheField name="Marks" numFmtId="0">
      <sharedItems containsSemiMixedTypes="0" containsString="0" containsNumber="1" containsInteger="1" minValue="58" maxValue="94"/>
    </cacheField>
    <cacheField name="Assignment_Submitted" numFmtId="0">
      <sharedItems/>
    </cacheField>
    <cacheField name="Remarks" numFmtId="0">
      <sharedItems/>
    </cacheField>
  </cacheFields>
  <extLst>
    <ext xmlns:x14="http://schemas.microsoft.com/office/spreadsheetml/2009/9/main" uri="{725AE2AE-9491-48be-B2B4-4EB974FC3084}">
      <x14:pivotCacheDefinition pivotCacheId="1253588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d v="2026-04-01T00:00:00"/>
    <s v="ST101"/>
    <s v="Aarav Sharma"/>
    <x v="0"/>
    <s v="BBA"/>
    <x v="0"/>
    <s v="Meena Gupta"/>
    <x v="0"/>
    <n v="1"/>
    <s v="Offline"/>
    <n v="78"/>
    <s v="Yes"/>
    <s v="Good Participation"/>
  </r>
  <r>
    <d v="2026-04-01T00:00:00"/>
    <s v="ST102"/>
    <s v="Riya Verma"/>
    <x v="1"/>
    <s v="BBA"/>
    <x v="0"/>
    <s v="Meena Gupta"/>
    <x v="1"/>
    <n v="0"/>
    <s v="Offline"/>
    <n v="65"/>
    <s v="No"/>
    <s v="Medical Leave"/>
  </r>
  <r>
    <d v="2026-04-01T00:00:00"/>
    <s v="ST103"/>
    <s v="Kabir Singh"/>
    <x v="0"/>
    <s v="BBA"/>
    <x v="0"/>
    <s v="Meena Gupta"/>
    <x v="2"/>
    <n v="0.5"/>
    <s v="Offline"/>
    <n v="72"/>
    <s v="Yes"/>
    <s v="Late Arrival"/>
  </r>
  <r>
    <d v="2026-04-01T00:00:00"/>
    <s v="ST104"/>
    <s v="Ananya Jain"/>
    <x v="1"/>
    <s v="BBA"/>
    <x v="0"/>
    <s v="Meena Gupta"/>
    <x v="0"/>
    <n v="1"/>
    <s v="Offline"/>
    <n v="84"/>
    <s v="Yes"/>
    <s v="Excellent"/>
  </r>
  <r>
    <d v="2026-04-02T00:00:00"/>
    <s v="ST101"/>
    <s v="Aarav Sharma"/>
    <x v="0"/>
    <s v="BBA"/>
    <x v="1"/>
    <s v="Ravi Khanna"/>
    <x v="0"/>
    <n v="1"/>
    <s v="Online"/>
    <n v="82"/>
    <s v="Yes"/>
    <s v="Active Student"/>
  </r>
  <r>
    <d v="2026-04-02T00:00:00"/>
    <s v="ST102"/>
    <s v="Riya Verma"/>
    <x v="1"/>
    <s v="BBA"/>
    <x v="1"/>
    <s v="Ravi Khanna"/>
    <x v="0"/>
    <n v="1"/>
    <s v="Online"/>
    <n v="75"/>
    <s v="Yes"/>
    <s v="Improved"/>
  </r>
  <r>
    <d v="2026-04-02T00:00:00"/>
    <s v="ST103"/>
    <s v="Kabir Singh"/>
    <x v="0"/>
    <s v="BBA"/>
    <x v="1"/>
    <s v="Ravi Khanna"/>
    <x v="1"/>
    <n v="0"/>
    <s v="Online"/>
    <n v="60"/>
    <s v="No"/>
    <s v="Sick Leave"/>
  </r>
  <r>
    <d v="2026-04-02T00:00:00"/>
    <s v="ST104"/>
    <s v="Ananya Jain"/>
    <x v="1"/>
    <s v="BBA"/>
    <x v="1"/>
    <s v="Ravi Khanna"/>
    <x v="0"/>
    <n v="1"/>
    <s v="Online"/>
    <n v="88"/>
    <s v="Yes"/>
    <s v="Top Performer"/>
  </r>
  <r>
    <d v="2026-04-03T00:00:00"/>
    <s v="ST101"/>
    <s v="Aarav Sharma"/>
    <x v="0"/>
    <s v="BBA"/>
    <x v="2"/>
    <s v="Simran Kaur"/>
    <x v="2"/>
    <n v="0.5"/>
    <s v="Offline"/>
    <n v="74"/>
    <s v="Yes"/>
    <s v="Traffic Delay"/>
  </r>
  <r>
    <d v="2026-04-03T00:00:00"/>
    <s v="ST102"/>
    <s v="Riya Verma"/>
    <x v="1"/>
    <s v="BBA"/>
    <x v="2"/>
    <s v="Simran Kaur"/>
    <x v="0"/>
    <n v="1"/>
    <s v="Offline"/>
    <n v="80"/>
    <s v="Yes"/>
    <s v="Good"/>
  </r>
  <r>
    <d v="2026-04-03T00:00:00"/>
    <s v="ST103"/>
    <s v="Kabir Singh"/>
    <x v="0"/>
    <s v="BBA"/>
    <x v="2"/>
    <s v="Simran Kaur"/>
    <x v="0"/>
    <n v="1"/>
    <s v="Offline"/>
    <n v="83"/>
    <s v="Yes"/>
    <s v="Interactive"/>
  </r>
  <r>
    <d v="2026-04-03T00:00:00"/>
    <s v="ST104"/>
    <s v="Ananya Jain"/>
    <x v="1"/>
    <s v="BBA"/>
    <x v="2"/>
    <s v="Simran Kaur"/>
    <x v="0"/>
    <n v="1"/>
    <s v="Offline"/>
    <n v="90"/>
    <s v="Yes"/>
    <s v="Excellent"/>
  </r>
  <r>
    <d v="2026-04-04T00:00:00"/>
    <s v="ST101"/>
    <s v="Aarav Sharma"/>
    <x v="0"/>
    <s v="BBA"/>
    <x v="3"/>
    <s v="Aman Bhatia"/>
    <x v="0"/>
    <n v="1"/>
    <s v="Online"/>
    <n v="85"/>
    <s v="Yes"/>
    <s v="Analytical"/>
  </r>
  <r>
    <d v="2026-04-04T00:00:00"/>
    <s v="ST102"/>
    <s v="Riya Verma"/>
    <x v="1"/>
    <s v="BBA"/>
    <x v="3"/>
    <s v="Aman Bhatia"/>
    <x v="2"/>
    <n v="0.5"/>
    <s v="Online"/>
    <n v="71"/>
    <s v="Yes"/>
    <s v="Network Delay"/>
  </r>
  <r>
    <d v="2026-04-04T00:00:00"/>
    <s v="ST103"/>
    <s v="Kabir Singh"/>
    <x v="0"/>
    <s v="BBA"/>
    <x v="3"/>
    <s v="Aman Bhatia"/>
    <x v="0"/>
    <n v="1"/>
    <s v="Online"/>
    <n v="86"/>
    <s v="Yes"/>
    <s v="Consistent"/>
  </r>
  <r>
    <d v="2026-04-04T00:00:00"/>
    <s v="ST104"/>
    <s v="Ananya Jain"/>
    <x v="1"/>
    <s v="BBA"/>
    <x v="3"/>
    <s v="Aman Bhatia"/>
    <x v="1"/>
    <n v="0"/>
    <s v="Online"/>
    <n v="62"/>
    <s v="No"/>
    <s v="Family Function"/>
  </r>
  <r>
    <d v="2026-04-05T00:00:00"/>
    <s v="ST101"/>
    <s v="Aarav Sharma"/>
    <x v="0"/>
    <s v="BBA"/>
    <x v="4"/>
    <s v="Neha Arora"/>
    <x v="0"/>
    <n v="1"/>
    <s v="Offline"/>
    <n v="81"/>
    <s v="Yes"/>
    <s v="Disciplined"/>
  </r>
  <r>
    <d v="2026-04-05T00:00:00"/>
    <s v="ST102"/>
    <s v="Riya Verma"/>
    <x v="1"/>
    <s v="BBA"/>
    <x v="4"/>
    <s v="Neha Arora"/>
    <x v="0"/>
    <n v="1"/>
    <s v="Offline"/>
    <n v="79"/>
    <s v="Yes"/>
    <s v="Focused"/>
  </r>
  <r>
    <d v="2026-04-05T00:00:00"/>
    <s v="ST103"/>
    <s v="Kabir Singh"/>
    <x v="0"/>
    <s v="BBA"/>
    <x v="4"/>
    <s v="Neha Arora"/>
    <x v="2"/>
    <n v="0.5"/>
    <s v="Offline"/>
    <n v="73"/>
    <s v="Yes"/>
    <s v="Late Arrival"/>
  </r>
  <r>
    <d v="2026-04-05T00:00:00"/>
    <s v="ST104"/>
    <s v="Ananya Jain"/>
    <x v="1"/>
    <s v="BBA"/>
    <x v="4"/>
    <s v="Neha Arora"/>
    <x v="0"/>
    <n v="1"/>
    <s v="Offline"/>
    <n v="91"/>
    <s v="Yes"/>
    <s v="Outstanding"/>
  </r>
  <r>
    <d v="2026-04-06T00:00:00"/>
    <s v="ST101"/>
    <s v="Aarav Sharma"/>
    <x v="0"/>
    <s v="BBA"/>
    <x v="0"/>
    <s v="Meena Gupta"/>
    <x v="1"/>
    <n v="0"/>
    <s v="Offline"/>
    <n v="58"/>
    <s v="No"/>
    <s v="Medical Leave"/>
  </r>
  <r>
    <d v="2026-04-06T00:00:00"/>
    <s v="ST102"/>
    <s v="Riya Verma"/>
    <x v="1"/>
    <s v="BBA"/>
    <x v="0"/>
    <s v="Meena Gupta"/>
    <x v="0"/>
    <n v="1"/>
    <s v="Offline"/>
    <n v="83"/>
    <s v="Yes"/>
    <s v="Regular"/>
  </r>
  <r>
    <d v="2026-04-06T00:00:00"/>
    <s v="ST103"/>
    <s v="Kabir Singh"/>
    <x v="0"/>
    <s v="BBA"/>
    <x v="0"/>
    <s v="Meena Gupta"/>
    <x v="0"/>
    <n v="1"/>
    <s v="Offline"/>
    <n v="87"/>
    <s v="Yes"/>
    <s v="Active"/>
  </r>
  <r>
    <d v="2026-04-06T00:00:00"/>
    <s v="ST104"/>
    <s v="Ananya Jain"/>
    <x v="1"/>
    <s v="BBA"/>
    <x v="0"/>
    <s v="Meena Gupta"/>
    <x v="2"/>
    <n v="0.5"/>
    <s v="Offline"/>
    <n v="76"/>
    <s v="Yes"/>
    <s v="Late Bus"/>
  </r>
  <r>
    <d v="2026-04-07T00:00:00"/>
    <s v="ST101"/>
    <s v="Aarav Sharma"/>
    <x v="0"/>
    <s v="BBA"/>
    <x v="1"/>
    <s v="Ravi Khanna"/>
    <x v="0"/>
    <n v="1"/>
    <s v="Online"/>
    <n v="84"/>
    <s v="Yes"/>
    <s v="Participative"/>
  </r>
  <r>
    <d v="2026-04-07T00:00:00"/>
    <s v="ST102"/>
    <s v="Riya Verma"/>
    <x v="1"/>
    <s v="BBA"/>
    <x v="1"/>
    <s v="Ravi Khanna"/>
    <x v="1"/>
    <n v="0"/>
    <s v="Online"/>
    <n v="61"/>
    <s v="No"/>
    <s v="Sick Leave"/>
  </r>
  <r>
    <d v="2026-04-07T00:00:00"/>
    <s v="ST103"/>
    <s v="Kabir Singh"/>
    <x v="0"/>
    <s v="BBA"/>
    <x v="1"/>
    <s v="Ravi Khanna"/>
    <x v="0"/>
    <n v="1"/>
    <s v="Online"/>
    <n v="89"/>
    <s v="Yes"/>
    <s v="Excellent"/>
  </r>
  <r>
    <d v="2026-04-07T00:00:00"/>
    <s v="ST104"/>
    <s v="Ananya Jain"/>
    <x v="1"/>
    <s v="BBA"/>
    <x v="1"/>
    <s v="Ravi Khanna"/>
    <x v="0"/>
    <n v="1"/>
    <s v="Online"/>
    <n v="92"/>
    <s v="Yes"/>
    <s v="Top Performer"/>
  </r>
  <r>
    <d v="2026-04-08T00:00:00"/>
    <s v="ST101"/>
    <s v="Aarav Sharma"/>
    <x v="0"/>
    <s v="BBA"/>
    <x v="2"/>
    <s v="Simran Kaur"/>
    <x v="0"/>
    <n v="1"/>
    <s v="Offline"/>
    <n v="80"/>
    <s v="Yes"/>
    <s v="Creative"/>
  </r>
  <r>
    <d v="2026-04-08T00:00:00"/>
    <s v="ST102"/>
    <s v="Riya Verma"/>
    <x v="1"/>
    <s v="BBA"/>
    <x v="2"/>
    <s v="Simran Kaur"/>
    <x v="2"/>
    <n v="0.5"/>
    <s v="Offline"/>
    <n v="72"/>
    <s v="Yes"/>
    <s v="Late Entry"/>
  </r>
  <r>
    <d v="2026-04-08T00:00:00"/>
    <s v="ST103"/>
    <s v="Kabir Singh"/>
    <x v="0"/>
    <s v="BBA"/>
    <x v="2"/>
    <s v="Simran Kaur"/>
    <x v="0"/>
    <n v="1"/>
    <s v="Offline"/>
    <n v="85"/>
    <s v="Yes"/>
    <s v="Good"/>
  </r>
  <r>
    <d v="2026-04-08T00:00:00"/>
    <s v="ST104"/>
    <s v="Ananya Jain"/>
    <x v="1"/>
    <s v="BBA"/>
    <x v="2"/>
    <s v="Simran Kaur"/>
    <x v="0"/>
    <n v="1"/>
    <s v="Offline"/>
    <n v="93"/>
    <s v="Yes"/>
    <s v="Excellent"/>
  </r>
  <r>
    <d v="2026-04-09T00:00:00"/>
    <s v="ST101"/>
    <s v="Aarav Sharma"/>
    <x v="0"/>
    <s v="BBA"/>
    <x v="3"/>
    <s v="Aman Bhatia"/>
    <x v="0"/>
    <n v="1"/>
    <s v="Online"/>
    <n v="88"/>
    <s v="Yes"/>
    <s v="Top Performer"/>
  </r>
  <r>
    <d v="2026-04-09T00:00:00"/>
    <s v="ST102"/>
    <s v="Riya Verma"/>
    <x v="1"/>
    <s v="BBA"/>
    <x v="3"/>
    <s v="Aman Bhatia"/>
    <x v="0"/>
    <n v="1"/>
    <s v="Online"/>
    <n v="77"/>
    <s v="Yes"/>
    <s v="Consistent"/>
  </r>
  <r>
    <d v="2026-04-09T00:00:00"/>
    <s v="ST103"/>
    <s v="Kabir Singh"/>
    <x v="0"/>
    <s v="BBA"/>
    <x v="3"/>
    <s v="Aman Bhatia"/>
    <x v="1"/>
    <n v="0"/>
    <s v="Online"/>
    <n v="59"/>
    <s v="No"/>
    <s v="Personal Reason"/>
  </r>
  <r>
    <d v="2026-04-09T00:00:00"/>
    <s v="ST104"/>
    <s v="Ananya Jain"/>
    <x v="1"/>
    <s v="BBA"/>
    <x v="3"/>
    <s v="Aman Bhatia"/>
    <x v="0"/>
    <n v="1"/>
    <s v="Online"/>
    <n v="90"/>
    <s v="Yes"/>
    <s v="Excellent"/>
  </r>
  <r>
    <d v="2026-04-10T00:00:00"/>
    <s v="ST101"/>
    <s v="Aarav Sharma"/>
    <x v="0"/>
    <s v="BBA"/>
    <x v="4"/>
    <s v="Neha Arora"/>
    <x v="2"/>
    <n v="0.5"/>
    <s v="Offline"/>
    <n v="75"/>
    <s v="Yes"/>
    <s v="Traffic"/>
  </r>
  <r>
    <d v="2026-04-10T00:00:00"/>
    <s v="ST102"/>
    <s v="Riya Verma"/>
    <x v="1"/>
    <s v="BBA"/>
    <x v="4"/>
    <s v="Neha Arora"/>
    <x v="0"/>
    <n v="1"/>
    <s v="Offline"/>
    <n v="82"/>
    <s v="Yes"/>
    <s v="Focused"/>
  </r>
  <r>
    <d v="2026-04-10T00:00:00"/>
    <s v="ST103"/>
    <s v="Kabir Singh"/>
    <x v="0"/>
    <s v="BBA"/>
    <x v="4"/>
    <s v="Neha Arora"/>
    <x v="0"/>
    <n v="1"/>
    <s v="Offline"/>
    <n v="86"/>
    <s v="Yes"/>
    <s v="Interactive"/>
  </r>
  <r>
    <d v="2026-04-10T00:00:00"/>
    <s v="ST104"/>
    <s v="Ananya Jain"/>
    <x v="1"/>
    <s v="BBA"/>
    <x v="4"/>
    <s v="Neha Arora"/>
    <x v="0"/>
    <n v="1"/>
    <s v="Offline"/>
    <n v="94"/>
    <s v="Yes"/>
    <s v="Outsta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995DB-A38E-4572-9E51-7FC927B09A3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Subject">
  <location ref="A8:C13" firstHeaderRow="0" firstDataRow="1" firstDataCol="1"/>
  <pivotFields count="13">
    <pivotField numFmtId="14" showAll="0"/>
    <pivotField showAll="0"/>
    <pivotField showAll="0"/>
    <pivotField showAll="0">
      <items count="3">
        <item x="1"/>
        <item x="0"/>
        <item t="default"/>
      </items>
    </pivotField>
    <pivotField showAll="0"/>
    <pivotField axis="axisRow" showAll="0">
      <items count="6">
        <item x="0"/>
        <item x="4"/>
        <item x="1"/>
        <item x="2"/>
        <item x="3"/>
        <item t="default"/>
      </items>
    </pivotField>
    <pivotField showAll="0"/>
    <pivotField showAll="0">
      <items count="4">
        <item x="1"/>
        <item x="2"/>
        <item x="0"/>
        <item t="default"/>
      </items>
    </pivotField>
    <pivotField dataField="1" showAll="0"/>
    <pivotField showAll="0"/>
    <pivotField dataField="1" showAll="0"/>
    <pivotField showAll="0"/>
    <pivotField showAll="0"/>
  </pivotFields>
  <rowFields count="1">
    <field x="5"/>
  </rowFields>
  <rowItems count="5">
    <i>
      <x/>
    </i>
    <i>
      <x v="1"/>
    </i>
    <i>
      <x v="2"/>
    </i>
    <i>
      <x v="3"/>
    </i>
    <i>
      <x v="4"/>
    </i>
  </rowItems>
  <colFields count="1">
    <field x="-2"/>
  </colFields>
  <colItems count="2">
    <i>
      <x/>
    </i>
    <i i="1">
      <x v="1"/>
    </i>
  </colItems>
  <dataFields count="2">
    <dataField name="Sum of Attendance_Score" fld="8" baseField="0" baseItem="0"/>
    <dataField name="Average of Marks" fld="10" subtotal="average" baseField="5" baseItem="0" numFmtId="164"/>
  </dataFields>
  <formats count="1">
    <format dxfId="17">
      <pivotArea outline="0" collapsedLevelsAreSubtotals="1" fieldPosition="0">
        <references count="1">
          <reference field="4294967294" count="1" selected="0">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98DBF24-A6B6-412B-9ED7-56E346B6FD35}" sourceName="Gender">
  <pivotTables>
    <pivotTable tabId="3" name="PivotTable2"/>
  </pivotTables>
  <data>
    <tabular pivotCacheId="12535881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BD28E003-8EB0-478D-BADF-7480D841128C}" sourceName="Subject">
  <pivotTables>
    <pivotTable tabId="3" name="PivotTable2"/>
  </pivotTables>
  <data>
    <tabular pivotCacheId="1253588103">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Status" xr10:uid="{D17416ED-DBF0-4B30-909C-F514D4C25673}" sourceName="Attendance_Status">
  <pivotTables>
    <pivotTable tabId="3" name="PivotTable2"/>
  </pivotTables>
  <data>
    <tabular pivotCacheId="125358810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334DD2-54AA-4986-B80C-9E0AB77B38B5}" cache="Slicer_Gender" caption="Gender" style="SlicerStyleDark1" rowHeight="247650"/>
  <slicer name="Subject" xr10:uid="{684D2B07-D52E-4AB0-85C0-9D1C32723E79}" cache="Slicer_Subject" caption="Subject" columnCount="2" style="SlicerStyleDark1" rowHeight="247650"/>
  <slicer name="Attendance_Status" xr10:uid="{9C312846-B2C1-450D-9A67-77BE06C420A2}" cache="Slicer_Attendance_Status" caption="Attendance_Status"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89BC4-1015-4D82-BCD8-12D7C635CAAD}" name="AttendanceTable" displayName="AttendanceTable" ref="A1:M41" totalsRowShown="0" headerRowDxfId="16" dataDxfId="15">
  <autoFilter ref="A1:M41" xr:uid="{67B89BC4-1015-4D82-BCD8-12D7C635CAAD}"/>
  <tableColumns count="13">
    <tableColumn id="1" xr3:uid="{445504B8-BF18-4397-B8DA-42C6C202661C}" name="Date" dataDxfId="14"/>
    <tableColumn id="2" xr3:uid="{49FEAEA3-45C0-4FD4-B6B2-7C3D4ADEE719}" name="Student_ID" dataDxfId="13"/>
    <tableColumn id="3" xr3:uid="{DD0236F7-E8E9-4F36-AF81-3DE2C19CAB86}" name="Student_Name" dataDxfId="12"/>
    <tableColumn id="4" xr3:uid="{53ADAA22-76DB-46DC-A690-991F218D189F}" name="Gender" dataDxfId="11"/>
    <tableColumn id="5" xr3:uid="{E44D7B6F-163E-4C6A-9241-0C78FADC75D2}" name="Course" dataDxfId="10"/>
    <tableColumn id="6" xr3:uid="{4FAB38D3-4794-4E0F-ABC2-FFF217AAD18A}" name="Subject" dataDxfId="9"/>
    <tableColumn id="7" xr3:uid="{A453A8BB-1300-489A-9E22-9A8DBB08F86A}" name="Teacher" dataDxfId="8"/>
    <tableColumn id="8" xr3:uid="{DEEFC5A7-EFF2-4C44-B2F4-3F6D236F4BE5}" name="Attendance_Status" dataDxfId="7"/>
    <tableColumn id="14" xr3:uid="{F6E68590-3FA0-47E9-A678-BBC21B14848D}" name="Attendance_Score" dataDxfId="6">
      <calculatedColumnFormula>IF(H2="Present",1,IF(H2="Late",0.5,0))</calculatedColumnFormula>
    </tableColumn>
    <tableColumn id="9" xr3:uid="{1812B623-7EA4-45D5-99B2-60AF23E7912E}" name="Attendance_Mode" dataDxfId="5"/>
    <tableColumn id="10" xr3:uid="{F1D5B0C6-558F-499B-9AB3-9ADFAA657188}" name="Marks" dataDxfId="4"/>
    <tableColumn id="11" xr3:uid="{E71EA572-654C-49A9-A73C-B1C3517AD22E}" name="Assignment_Submitted" dataDxfId="3"/>
    <tableColumn id="12" xr3:uid="{376D14EF-4D30-4AAD-83DC-AE6FD4CC71C1}" name="Remarks" dataDxfId="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D5AE-22CB-421C-80E8-45F6430B2423}">
  <dimension ref="A1:M41"/>
  <sheetViews>
    <sheetView workbookViewId="0">
      <selection activeCell="O19" sqref="O19"/>
    </sheetView>
  </sheetViews>
  <sheetFormatPr defaultRowHeight="14.4" x14ac:dyDescent="0.3"/>
  <cols>
    <col min="1" max="2" width="12.77734375" customWidth="1"/>
    <col min="3" max="3" width="15.21875" customWidth="1"/>
    <col min="4" max="7" width="12.77734375" customWidth="1"/>
    <col min="8" max="8" width="18.21875" customWidth="1"/>
    <col min="9" max="9" width="18.5546875" style="5" customWidth="1"/>
    <col min="10" max="10" width="17.77734375" customWidth="1"/>
    <col min="11" max="11" width="12.77734375" customWidth="1"/>
    <col min="12" max="12" width="22.21875" style="5" customWidth="1"/>
    <col min="13" max="13" width="12.77734375" customWidth="1"/>
  </cols>
  <sheetData>
    <row r="1" spans="1:13" ht="28.8" x14ac:dyDescent="0.3">
      <c r="A1" s="2" t="s">
        <v>0</v>
      </c>
      <c r="B1" s="2" t="s">
        <v>1</v>
      </c>
      <c r="C1" s="2" t="s">
        <v>2</v>
      </c>
      <c r="D1" s="2" t="s">
        <v>3</v>
      </c>
      <c r="E1" s="2" t="s">
        <v>4</v>
      </c>
      <c r="F1" s="2" t="s">
        <v>5</v>
      </c>
      <c r="G1" s="2" t="s">
        <v>6</v>
      </c>
      <c r="H1" s="2" t="s">
        <v>7</v>
      </c>
      <c r="I1" s="2" t="s">
        <v>66</v>
      </c>
      <c r="J1" s="2" t="s">
        <v>8</v>
      </c>
      <c r="K1" s="2" t="s">
        <v>9</v>
      </c>
      <c r="L1" s="2" t="s">
        <v>10</v>
      </c>
      <c r="M1" s="2" t="s">
        <v>11</v>
      </c>
    </row>
    <row r="2" spans="1:13" ht="28.8" x14ac:dyDescent="0.3">
      <c r="A2" s="3">
        <v>46113</v>
      </c>
      <c r="B2" s="4" t="s">
        <v>12</v>
      </c>
      <c r="C2" s="4" t="s">
        <v>13</v>
      </c>
      <c r="D2" s="4" t="s">
        <v>14</v>
      </c>
      <c r="E2" s="4" t="s">
        <v>15</v>
      </c>
      <c r="F2" s="4" t="s">
        <v>16</v>
      </c>
      <c r="G2" s="4" t="s">
        <v>17</v>
      </c>
      <c r="H2" s="1" t="s">
        <v>18</v>
      </c>
      <c r="I2" s="1">
        <f t="shared" ref="I2:I41" si="0">IF(H2="Present",1,IF(H2="Late",0.5,0))</f>
        <v>1</v>
      </c>
      <c r="J2" s="4" t="s">
        <v>19</v>
      </c>
      <c r="K2" s="4">
        <v>78</v>
      </c>
      <c r="L2" s="1" t="s">
        <v>20</v>
      </c>
      <c r="M2" s="4" t="s">
        <v>21</v>
      </c>
    </row>
    <row r="3" spans="1:13" x14ac:dyDescent="0.3">
      <c r="A3" s="3">
        <v>46113</v>
      </c>
      <c r="B3" s="4" t="s">
        <v>22</v>
      </c>
      <c r="C3" s="4" t="s">
        <v>23</v>
      </c>
      <c r="D3" s="4" t="s">
        <v>24</v>
      </c>
      <c r="E3" s="4" t="s">
        <v>15</v>
      </c>
      <c r="F3" s="4" t="s">
        <v>16</v>
      </c>
      <c r="G3" s="4" t="s">
        <v>17</v>
      </c>
      <c r="H3" s="1" t="s">
        <v>25</v>
      </c>
      <c r="I3" s="1">
        <f t="shared" si="0"/>
        <v>0</v>
      </c>
      <c r="J3" s="4" t="s">
        <v>19</v>
      </c>
      <c r="K3" s="4">
        <v>65</v>
      </c>
      <c r="L3" s="1" t="s">
        <v>26</v>
      </c>
      <c r="M3" s="4" t="s">
        <v>27</v>
      </c>
    </row>
    <row r="4" spans="1:13" x14ac:dyDescent="0.3">
      <c r="A4" s="3">
        <v>46113</v>
      </c>
      <c r="B4" s="4" t="s">
        <v>28</v>
      </c>
      <c r="C4" s="4" t="s">
        <v>29</v>
      </c>
      <c r="D4" s="4" t="s">
        <v>14</v>
      </c>
      <c r="E4" s="4" t="s">
        <v>15</v>
      </c>
      <c r="F4" s="4" t="s">
        <v>16</v>
      </c>
      <c r="G4" s="4" t="s">
        <v>17</v>
      </c>
      <c r="H4" s="1" t="s">
        <v>30</v>
      </c>
      <c r="I4" s="1">
        <f t="shared" si="0"/>
        <v>0.5</v>
      </c>
      <c r="J4" s="4" t="s">
        <v>19</v>
      </c>
      <c r="K4" s="4">
        <v>72</v>
      </c>
      <c r="L4" s="1" t="s">
        <v>20</v>
      </c>
      <c r="M4" s="4" t="s">
        <v>31</v>
      </c>
    </row>
    <row r="5" spans="1:13" x14ac:dyDescent="0.3">
      <c r="A5" s="3">
        <v>46113</v>
      </c>
      <c r="B5" s="4" t="s">
        <v>32</v>
      </c>
      <c r="C5" s="4" t="s">
        <v>33</v>
      </c>
      <c r="D5" s="4" t="s">
        <v>24</v>
      </c>
      <c r="E5" s="4" t="s">
        <v>15</v>
      </c>
      <c r="F5" s="4" t="s">
        <v>16</v>
      </c>
      <c r="G5" s="4" t="s">
        <v>17</v>
      </c>
      <c r="H5" s="1" t="s">
        <v>18</v>
      </c>
      <c r="I5" s="1">
        <f t="shared" si="0"/>
        <v>1</v>
      </c>
      <c r="J5" s="4" t="s">
        <v>19</v>
      </c>
      <c r="K5" s="4">
        <v>84</v>
      </c>
      <c r="L5" s="1" t="s">
        <v>20</v>
      </c>
      <c r="M5" s="4" t="s">
        <v>34</v>
      </c>
    </row>
    <row r="6" spans="1:13" x14ac:dyDescent="0.3">
      <c r="A6" s="3">
        <v>46114</v>
      </c>
      <c r="B6" s="4" t="s">
        <v>12</v>
      </c>
      <c r="C6" s="4" t="s">
        <v>13</v>
      </c>
      <c r="D6" s="4" t="s">
        <v>14</v>
      </c>
      <c r="E6" s="4" t="s">
        <v>15</v>
      </c>
      <c r="F6" s="4" t="s">
        <v>35</v>
      </c>
      <c r="G6" s="4" t="s">
        <v>36</v>
      </c>
      <c r="H6" s="1" t="s">
        <v>18</v>
      </c>
      <c r="I6" s="1">
        <f t="shared" si="0"/>
        <v>1</v>
      </c>
      <c r="J6" s="4" t="s">
        <v>37</v>
      </c>
      <c r="K6" s="4">
        <v>82</v>
      </c>
      <c r="L6" s="1" t="s">
        <v>20</v>
      </c>
      <c r="M6" s="4" t="s">
        <v>38</v>
      </c>
    </row>
    <row r="7" spans="1:13" x14ac:dyDescent="0.3">
      <c r="A7" s="3">
        <v>46114</v>
      </c>
      <c r="B7" s="4" t="s">
        <v>22</v>
      </c>
      <c r="C7" s="4" t="s">
        <v>23</v>
      </c>
      <c r="D7" s="4" t="s">
        <v>24</v>
      </c>
      <c r="E7" s="4" t="s">
        <v>15</v>
      </c>
      <c r="F7" s="4" t="s">
        <v>35</v>
      </c>
      <c r="G7" s="4" t="s">
        <v>36</v>
      </c>
      <c r="H7" s="1" t="s">
        <v>18</v>
      </c>
      <c r="I7" s="1">
        <f t="shared" si="0"/>
        <v>1</v>
      </c>
      <c r="J7" s="4" t="s">
        <v>37</v>
      </c>
      <c r="K7" s="4">
        <v>75</v>
      </c>
      <c r="L7" s="1" t="s">
        <v>20</v>
      </c>
      <c r="M7" s="4" t="s">
        <v>39</v>
      </c>
    </row>
    <row r="8" spans="1:13" x14ac:dyDescent="0.3">
      <c r="A8" s="3">
        <v>46114</v>
      </c>
      <c r="B8" s="4" t="s">
        <v>28</v>
      </c>
      <c r="C8" s="4" t="s">
        <v>29</v>
      </c>
      <c r="D8" s="4" t="s">
        <v>14</v>
      </c>
      <c r="E8" s="4" t="s">
        <v>15</v>
      </c>
      <c r="F8" s="4" t="s">
        <v>35</v>
      </c>
      <c r="G8" s="4" t="s">
        <v>36</v>
      </c>
      <c r="H8" s="1" t="s">
        <v>25</v>
      </c>
      <c r="I8" s="1">
        <f t="shared" si="0"/>
        <v>0</v>
      </c>
      <c r="J8" s="4" t="s">
        <v>37</v>
      </c>
      <c r="K8" s="4">
        <v>60</v>
      </c>
      <c r="L8" s="1" t="s">
        <v>26</v>
      </c>
      <c r="M8" s="4" t="s">
        <v>40</v>
      </c>
    </row>
    <row r="9" spans="1:13" x14ac:dyDescent="0.3">
      <c r="A9" s="3">
        <v>46114</v>
      </c>
      <c r="B9" s="4" t="s">
        <v>32</v>
      </c>
      <c r="C9" s="4" t="s">
        <v>33</v>
      </c>
      <c r="D9" s="4" t="s">
        <v>24</v>
      </c>
      <c r="E9" s="4" t="s">
        <v>15</v>
      </c>
      <c r="F9" s="4" t="s">
        <v>35</v>
      </c>
      <c r="G9" s="4" t="s">
        <v>36</v>
      </c>
      <c r="H9" s="1" t="s">
        <v>18</v>
      </c>
      <c r="I9" s="1">
        <f t="shared" si="0"/>
        <v>1</v>
      </c>
      <c r="J9" s="4" t="s">
        <v>37</v>
      </c>
      <c r="K9" s="4">
        <v>88</v>
      </c>
      <c r="L9" s="1" t="s">
        <v>20</v>
      </c>
      <c r="M9" s="4" t="s">
        <v>41</v>
      </c>
    </row>
    <row r="10" spans="1:13" x14ac:dyDescent="0.3">
      <c r="A10" s="3">
        <v>46115</v>
      </c>
      <c r="B10" s="4" t="s">
        <v>12</v>
      </c>
      <c r="C10" s="4" t="s">
        <v>13</v>
      </c>
      <c r="D10" s="4" t="s">
        <v>14</v>
      </c>
      <c r="E10" s="4" t="s">
        <v>15</v>
      </c>
      <c r="F10" s="4" t="s">
        <v>42</v>
      </c>
      <c r="G10" s="4" t="s">
        <v>43</v>
      </c>
      <c r="H10" s="1" t="s">
        <v>30</v>
      </c>
      <c r="I10" s="1">
        <f t="shared" si="0"/>
        <v>0.5</v>
      </c>
      <c r="J10" s="4" t="s">
        <v>19</v>
      </c>
      <c r="K10" s="4">
        <v>74</v>
      </c>
      <c r="L10" s="1" t="s">
        <v>20</v>
      </c>
      <c r="M10" s="4" t="s">
        <v>44</v>
      </c>
    </row>
    <row r="11" spans="1:13" x14ac:dyDescent="0.3">
      <c r="A11" s="3">
        <v>46115</v>
      </c>
      <c r="B11" s="4" t="s">
        <v>22</v>
      </c>
      <c r="C11" s="4" t="s">
        <v>23</v>
      </c>
      <c r="D11" s="4" t="s">
        <v>24</v>
      </c>
      <c r="E11" s="4" t="s">
        <v>15</v>
      </c>
      <c r="F11" s="4" t="s">
        <v>42</v>
      </c>
      <c r="G11" s="4" t="s">
        <v>43</v>
      </c>
      <c r="H11" s="1" t="s">
        <v>18</v>
      </c>
      <c r="I11" s="1">
        <f t="shared" si="0"/>
        <v>1</v>
      </c>
      <c r="J11" s="4" t="s">
        <v>19</v>
      </c>
      <c r="K11" s="4">
        <v>80</v>
      </c>
      <c r="L11" s="1" t="s">
        <v>20</v>
      </c>
      <c r="M11" s="4" t="s">
        <v>45</v>
      </c>
    </row>
    <row r="12" spans="1:13" x14ac:dyDescent="0.3">
      <c r="A12" s="3">
        <v>46115</v>
      </c>
      <c r="B12" s="4" t="s">
        <v>28</v>
      </c>
      <c r="C12" s="4" t="s">
        <v>29</v>
      </c>
      <c r="D12" s="4" t="s">
        <v>14</v>
      </c>
      <c r="E12" s="4" t="s">
        <v>15</v>
      </c>
      <c r="F12" s="4" t="s">
        <v>42</v>
      </c>
      <c r="G12" s="4" t="s">
        <v>43</v>
      </c>
      <c r="H12" s="1" t="s">
        <v>18</v>
      </c>
      <c r="I12" s="1">
        <f t="shared" si="0"/>
        <v>1</v>
      </c>
      <c r="J12" s="4" t="s">
        <v>19</v>
      </c>
      <c r="K12" s="4">
        <v>83</v>
      </c>
      <c r="L12" s="1" t="s">
        <v>20</v>
      </c>
      <c r="M12" s="4" t="s">
        <v>46</v>
      </c>
    </row>
    <row r="13" spans="1:13" x14ac:dyDescent="0.3">
      <c r="A13" s="3">
        <v>46115</v>
      </c>
      <c r="B13" s="4" t="s">
        <v>32</v>
      </c>
      <c r="C13" s="4" t="s">
        <v>33</v>
      </c>
      <c r="D13" s="4" t="s">
        <v>24</v>
      </c>
      <c r="E13" s="4" t="s">
        <v>15</v>
      </c>
      <c r="F13" s="4" t="s">
        <v>42</v>
      </c>
      <c r="G13" s="4" t="s">
        <v>43</v>
      </c>
      <c r="H13" s="1" t="s">
        <v>18</v>
      </c>
      <c r="I13" s="1">
        <f t="shared" si="0"/>
        <v>1</v>
      </c>
      <c r="J13" s="4" t="s">
        <v>19</v>
      </c>
      <c r="K13" s="4">
        <v>90</v>
      </c>
      <c r="L13" s="1" t="s">
        <v>20</v>
      </c>
      <c r="M13" s="4" t="s">
        <v>34</v>
      </c>
    </row>
    <row r="14" spans="1:13" x14ac:dyDescent="0.3">
      <c r="A14" s="3">
        <v>46116</v>
      </c>
      <c r="B14" s="4" t="s">
        <v>12</v>
      </c>
      <c r="C14" s="4" t="s">
        <v>13</v>
      </c>
      <c r="D14" s="4" t="s">
        <v>14</v>
      </c>
      <c r="E14" s="4" t="s">
        <v>15</v>
      </c>
      <c r="F14" s="4" t="s">
        <v>47</v>
      </c>
      <c r="G14" s="4" t="s">
        <v>48</v>
      </c>
      <c r="H14" s="1" t="s">
        <v>18</v>
      </c>
      <c r="I14" s="1">
        <f t="shared" si="0"/>
        <v>1</v>
      </c>
      <c r="J14" s="4" t="s">
        <v>37</v>
      </c>
      <c r="K14" s="4">
        <v>85</v>
      </c>
      <c r="L14" s="1" t="s">
        <v>20</v>
      </c>
      <c r="M14" s="4" t="s">
        <v>49</v>
      </c>
    </row>
    <row r="15" spans="1:13" x14ac:dyDescent="0.3">
      <c r="A15" s="3">
        <v>46116</v>
      </c>
      <c r="B15" s="4" t="s">
        <v>22</v>
      </c>
      <c r="C15" s="4" t="s">
        <v>23</v>
      </c>
      <c r="D15" s="4" t="s">
        <v>24</v>
      </c>
      <c r="E15" s="4" t="s">
        <v>15</v>
      </c>
      <c r="F15" s="4" t="s">
        <v>47</v>
      </c>
      <c r="G15" s="4" t="s">
        <v>48</v>
      </c>
      <c r="H15" s="1" t="s">
        <v>30</v>
      </c>
      <c r="I15" s="1">
        <f t="shared" si="0"/>
        <v>0.5</v>
      </c>
      <c r="J15" s="4" t="s">
        <v>37</v>
      </c>
      <c r="K15" s="4">
        <v>71</v>
      </c>
      <c r="L15" s="1" t="s">
        <v>20</v>
      </c>
      <c r="M15" s="4" t="s">
        <v>50</v>
      </c>
    </row>
    <row r="16" spans="1:13" x14ac:dyDescent="0.3">
      <c r="A16" s="3">
        <v>46116</v>
      </c>
      <c r="B16" s="4" t="s">
        <v>28</v>
      </c>
      <c r="C16" s="4" t="s">
        <v>29</v>
      </c>
      <c r="D16" s="4" t="s">
        <v>14</v>
      </c>
      <c r="E16" s="4" t="s">
        <v>15</v>
      </c>
      <c r="F16" s="4" t="s">
        <v>47</v>
      </c>
      <c r="G16" s="4" t="s">
        <v>48</v>
      </c>
      <c r="H16" s="1" t="s">
        <v>18</v>
      </c>
      <c r="I16" s="1">
        <f t="shared" si="0"/>
        <v>1</v>
      </c>
      <c r="J16" s="4" t="s">
        <v>37</v>
      </c>
      <c r="K16" s="4">
        <v>86</v>
      </c>
      <c r="L16" s="1" t="s">
        <v>20</v>
      </c>
      <c r="M16" s="4" t="s">
        <v>51</v>
      </c>
    </row>
    <row r="17" spans="1:13" ht="28.8" x14ac:dyDescent="0.3">
      <c r="A17" s="3">
        <v>46116</v>
      </c>
      <c r="B17" s="4" t="s">
        <v>32</v>
      </c>
      <c r="C17" s="4" t="s">
        <v>33</v>
      </c>
      <c r="D17" s="4" t="s">
        <v>24</v>
      </c>
      <c r="E17" s="4" t="s">
        <v>15</v>
      </c>
      <c r="F17" s="4" t="s">
        <v>47</v>
      </c>
      <c r="G17" s="4" t="s">
        <v>48</v>
      </c>
      <c r="H17" s="1" t="s">
        <v>25</v>
      </c>
      <c r="I17" s="1">
        <f t="shared" si="0"/>
        <v>0</v>
      </c>
      <c r="J17" s="4" t="s">
        <v>37</v>
      </c>
      <c r="K17" s="4">
        <v>62</v>
      </c>
      <c r="L17" s="1" t="s">
        <v>26</v>
      </c>
      <c r="M17" s="4" t="s">
        <v>52</v>
      </c>
    </row>
    <row r="18" spans="1:13" x14ac:dyDescent="0.3">
      <c r="A18" s="3">
        <v>46117</v>
      </c>
      <c r="B18" s="4" t="s">
        <v>12</v>
      </c>
      <c r="C18" s="4" t="s">
        <v>13</v>
      </c>
      <c r="D18" s="4" t="s">
        <v>14</v>
      </c>
      <c r="E18" s="4" t="s">
        <v>15</v>
      </c>
      <c r="F18" s="4" t="s">
        <v>53</v>
      </c>
      <c r="G18" s="4" t="s">
        <v>54</v>
      </c>
      <c r="H18" s="1" t="s">
        <v>18</v>
      </c>
      <c r="I18" s="1">
        <f t="shared" si="0"/>
        <v>1</v>
      </c>
      <c r="J18" s="4" t="s">
        <v>19</v>
      </c>
      <c r="K18" s="4">
        <v>81</v>
      </c>
      <c r="L18" s="1" t="s">
        <v>20</v>
      </c>
      <c r="M18" s="4" t="s">
        <v>55</v>
      </c>
    </row>
    <row r="19" spans="1:13" x14ac:dyDescent="0.3">
      <c r="A19" s="3">
        <v>46117</v>
      </c>
      <c r="B19" s="4" t="s">
        <v>22</v>
      </c>
      <c r="C19" s="4" t="s">
        <v>23</v>
      </c>
      <c r="D19" s="4" t="s">
        <v>24</v>
      </c>
      <c r="E19" s="4" t="s">
        <v>15</v>
      </c>
      <c r="F19" s="4" t="s">
        <v>53</v>
      </c>
      <c r="G19" s="4" t="s">
        <v>54</v>
      </c>
      <c r="H19" s="1" t="s">
        <v>18</v>
      </c>
      <c r="I19" s="1">
        <f t="shared" si="0"/>
        <v>1</v>
      </c>
      <c r="J19" s="4" t="s">
        <v>19</v>
      </c>
      <c r="K19" s="4">
        <v>79</v>
      </c>
      <c r="L19" s="1" t="s">
        <v>20</v>
      </c>
      <c r="M19" s="4" t="s">
        <v>56</v>
      </c>
    </row>
    <row r="20" spans="1:13" x14ac:dyDescent="0.3">
      <c r="A20" s="3">
        <v>46117</v>
      </c>
      <c r="B20" s="4" t="s">
        <v>28</v>
      </c>
      <c r="C20" s="4" t="s">
        <v>29</v>
      </c>
      <c r="D20" s="4" t="s">
        <v>14</v>
      </c>
      <c r="E20" s="4" t="s">
        <v>15</v>
      </c>
      <c r="F20" s="4" t="s">
        <v>53</v>
      </c>
      <c r="G20" s="4" t="s">
        <v>54</v>
      </c>
      <c r="H20" s="1" t="s">
        <v>30</v>
      </c>
      <c r="I20" s="1">
        <f t="shared" si="0"/>
        <v>0.5</v>
      </c>
      <c r="J20" s="4" t="s">
        <v>19</v>
      </c>
      <c r="K20" s="4">
        <v>73</v>
      </c>
      <c r="L20" s="1" t="s">
        <v>20</v>
      </c>
      <c r="M20" s="4" t="s">
        <v>31</v>
      </c>
    </row>
    <row r="21" spans="1:13" x14ac:dyDescent="0.3">
      <c r="A21" s="3">
        <v>46117</v>
      </c>
      <c r="B21" s="4" t="s">
        <v>32</v>
      </c>
      <c r="C21" s="4" t="s">
        <v>33</v>
      </c>
      <c r="D21" s="4" t="s">
        <v>24</v>
      </c>
      <c r="E21" s="4" t="s">
        <v>15</v>
      </c>
      <c r="F21" s="4" t="s">
        <v>53</v>
      </c>
      <c r="G21" s="4" t="s">
        <v>54</v>
      </c>
      <c r="H21" s="1" t="s">
        <v>18</v>
      </c>
      <c r="I21" s="1">
        <f t="shared" si="0"/>
        <v>1</v>
      </c>
      <c r="J21" s="4" t="s">
        <v>19</v>
      </c>
      <c r="K21" s="4">
        <v>91</v>
      </c>
      <c r="L21" s="1" t="s">
        <v>20</v>
      </c>
      <c r="M21" s="4" t="s">
        <v>57</v>
      </c>
    </row>
    <row r="22" spans="1:13" x14ac:dyDescent="0.3">
      <c r="A22" s="3">
        <v>46118</v>
      </c>
      <c r="B22" s="4" t="s">
        <v>12</v>
      </c>
      <c r="C22" s="4" t="s">
        <v>13</v>
      </c>
      <c r="D22" s="4" t="s">
        <v>14</v>
      </c>
      <c r="E22" s="4" t="s">
        <v>15</v>
      </c>
      <c r="F22" s="4" t="s">
        <v>16</v>
      </c>
      <c r="G22" s="4" t="s">
        <v>17</v>
      </c>
      <c r="H22" s="1" t="s">
        <v>25</v>
      </c>
      <c r="I22" s="1">
        <f t="shared" si="0"/>
        <v>0</v>
      </c>
      <c r="J22" s="4" t="s">
        <v>19</v>
      </c>
      <c r="K22" s="4">
        <v>58</v>
      </c>
      <c r="L22" s="1" t="s">
        <v>26</v>
      </c>
      <c r="M22" s="4" t="s">
        <v>27</v>
      </c>
    </row>
    <row r="23" spans="1:13" x14ac:dyDescent="0.3">
      <c r="A23" s="3">
        <v>46118</v>
      </c>
      <c r="B23" s="4" t="s">
        <v>22</v>
      </c>
      <c r="C23" s="4" t="s">
        <v>23</v>
      </c>
      <c r="D23" s="4" t="s">
        <v>24</v>
      </c>
      <c r="E23" s="4" t="s">
        <v>15</v>
      </c>
      <c r="F23" s="4" t="s">
        <v>16</v>
      </c>
      <c r="G23" s="4" t="s">
        <v>17</v>
      </c>
      <c r="H23" s="1" t="s">
        <v>18</v>
      </c>
      <c r="I23" s="1">
        <f t="shared" si="0"/>
        <v>1</v>
      </c>
      <c r="J23" s="4" t="s">
        <v>19</v>
      </c>
      <c r="K23" s="4">
        <v>83</v>
      </c>
      <c r="L23" s="1" t="s">
        <v>20</v>
      </c>
      <c r="M23" s="4" t="s">
        <v>58</v>
      </c>
    </row>
    <row r="24" spans="1:13" x14ac:dyDescent="0.3">
      <c r="A24" s="3">
        <v>46118</v>
      </c>
      <c r="B24" s="4" t="s">
        <v>28</v>
      </c>
      <c r="C24" s="4" t="s">
        <v>29</v>
      </c>
      <c r="D24" s="4" t="s">
        <v>14</v>
      </c>
      <c r="E24" s="4" t="s">
        <v>15</v>
      </c>
      <c r="F24" s="4" t="s">
        <v>16</v>
      </c>
      <c r="G24" s="4" t="s">
        <v>17</v>
      </c>
      <c r="H24" s="1" t="s">
        <v>18</v>
      </c>
      <c r="I24" s="1">
        <f t="shared" si="0"/>
        <v>1</v>
      </c>
      <c r="J24" s="4" t="s">
        <v>19</v>
      </c>
      <c r="K24" s="4">
        <v>87</v>
      </c>
      <c r="L24" s="1" t="s">
        <v>20</v>
      </c>
      <c r="M24" s="4" t="s">
        <v>59</v>
      </c>
    </row>
    <row r="25" spans="1:13" x14ac:dyDescent="0.3">
      <c r="A25" s="3">
        <v>46118</v>
      </c>
      <c r="B25" s="4" t="s">
        <v>32</v>
      </c>
      <c r="C25" s="4" t="s">
        <v>33</v>
      </c>
      <c r="D25" s="4" t="s">
        <v>24</v>
      </c>
      <c r="E25" s="4" t="s">
        <v>15</v>
      </c>
      <c r="F25" s="4" t="s">
        <v>16</v>
      </c>
      <c r="G25" s="4" t="s">
        <v>17</v>
      </c>
      <c r="H25" s="1" t="s">
        <v>30</v>
      </c>
      <c r="I25" s="1">
        <f t="shared" si="0"/>
        <v>0.5</v>
      </c>
      <c r="J25" s="4" t="s">
        <v>19</v>
      </c>
      <c r="K25" s="4">
        <v>76</v>
      </c>
      <c r="L25" s="1" t="s">
        <v>20</v>
      </c>
      <c r="M25" s="4" t="s">
        <v>60</v>
      </c>
    </row>
    <row r="26" spans="1:13" x14ac:dyDescent="0.3">
      <c r="A26" s="3">
        <v>46119</v>
      </c>
      <c r="B26" s="4" t="s">
        <v>12</v>
      </c>
      <c r="C26" s="4" t="s">
        <v>13</v>
      </c>
      <c r="D26" s="4" t="s">
        <v>14</v>
      </c>
      <c r="E26" s="4" t="s">
        <v>15</v>
      </c>
      <c r="F26" s="4" t="s">
        <v>35</v>
      </c>
      <c r="G26" s="4" t="s">
        <v>36</v>
      </c>
      <c r="H26" s="1" t="s">
        <v>18</v>
      </c>
      <c r="I26" s="1">
        <f t="shared" si="0"/>
        <v>1</v>
      </c>
      <c r="J26" s="4" t="s">
        <v>37</v>
      </c>
      <c r="K26" s="4">
        <v>84</v>
      </c>
      <c r="L26" s="1" t="s">
        <v>20</v>
      </c>
      <c r="M26" s="4" t="s">
        <v>61</v>
      </c>
    </row>
    <row r="27" spans="1:13" x14ac:dyDescent="0.3">
      <c r="A27" s="3">
        <v>46119</v>
      </c>
      <c r="B27" s="4" t="s">
        <v>22</v>
      </c>
      <c r="C27" s="4" t="s">
        <v>23</v>
      </c>
      <c r="D27" s="4" t="s">
        <v>24</v>
      </c>
      <c r="E27" s="4" t="s">
        <v>15</v>
      </c>
      <c r="F27" s="4" t="s">
        <v>35</v>
      </c>
      <c r="G27" s="4" t="s">
        <v>36</v>
      </c>
      <c r="H27" s="1" t="s">
        <v>25</v>
      </c>
      <c r="I27" s="1">
        <f t="shared" si="0"/>
        <v>0</v>
      </c>
      <c r="J27" s="4" t="s">
        <v>37</v>
      </c>
      <c r="K27" s="4">
        <v>61</v>
      </c>
      <c r="L27" s="1" t="s">
        <v>26</v>
      </c>
      <c r="M27" s="4" t="s">
        <v>40</v>
      </c>
    </row>
    <row r="28" spans="1:13" x14ac:dyDescent="0.3">
      <c r="A28" s="3">
        <v>46119</v>
      </c>
      <c r="B28" s="4" t="s">
        <v>28</v>
      </c>
      <c r="C28" s="4" t="s">
        <v>29</v>
      </c>
      <c r="D28" s="4" t="s">
        <v>14</v>
      </c>
      <c r="E28" s="4" t="s">
        <v>15</v>
      </c>
      <c r="F28" s="4" t="s">
        <v>35</v>
      </c>
      <c r="G28" s="4" t="s">
        <v>36</v>
      </c>
      <c r="H28" s="1" t="s">
        <v>18</v>
      </c>
      <c r="I28" s="1">
        <f t="shared" si="0"/>
        <v>1</v>
      </c>
      <c r="J28" s="4" t="s">
        <v>37</v>
      </c>
      <c r="K28" s="4">
        <v>89</v>
      </c>
      <c r="L28" s="1" t="s">
        <v>20</v>
      </c>
      <c r="M28" s="4" t="s">
        <v>34</v>
      </c>
    </row>
    <row r="29" spans="1:13" x14ac:dyDescent="0.3">
      <c r="A29" s="3">
        <v>46119</v>
      </c>
      <c r="B29" s="4" t="s">
        <v>32</v>
      </c>
      <c r="C29" s="4" t="s">
        <v>33</v>
      </c>
      <c r="D29" s="4" t="s">
        <v>24</v>
      </c>
      <c r="E29" s="4" t="s">
        <v>15</v>
      </c>
      <c r="F29" s="4" t="s">
        <v>35</v>
      </c>
      <c r="G29" s="4" t="s">
        <v>36</v>
      </c>
      <c r="H29" s="1" t="s">
        <v>18</v>
      </c>
      <c r="I29" s="1">
        <f t="shared" si="0"/>
        <v>1</v>
      </c>
      <c r="J29" s="4" t="s">
        <v>37</v>
      </c>
      <c r="K29" s="4">
        <v>92</v>
      </c>
      <c r="L29" s="1" t="s">
        <v>20</v>
      </c>
      <c r="M29" s="4" t="s">
        <v>41</v>
      </c>
    </row>
    <row r="30" spans="1:13" x14ac:dyDescent="0.3">
      <c r="A30" s="3">
        <v>46120</v>
      </c>
      <c r="B30" s="4" t="s">
        <v>12</v>
      </c>
      <c r="C30" s="4" t="s">
        <v>13</v>
      </c>
      <c r="D30" s="4" t="s">
        <v>14</v>
      </c>
      <c r="E30" s="4" t="s">
        <v>15</v>
      </c>
      <c r="F30" s="4" t="s">
        <v>42</v>
      </c>
      <c r="G30" s="4" t="s">
        <v>43</v>
      </c>
      <c r="H30" s="1" t="s">
        <v>18</v>
      </c>
      <c r="I30" s="1">
        <f t="shared" si="0"/>
        <v>1</v>
      </c>
      <c r="J30" s="4" t="s">
        <v>19</v>
      </c>
      <c r="K30" s="4">
        <v>80</v>
      </c>
      <c r="L30" s="1" t="s">
        <v>20</v>
      </c>
      <c r="M30" s="4" t="s">
        <v>62</v>
      </c>
    </row>
    <row r="31" spans="1:13" x14ac:dyDescent="0.3">
      <c r="A31" s="3">
        <v>46120</v>
      </c>
      <c r="B31" s="4" t="s">
        <v>22</v>
      </c>
      <c r="C31" s="4" t="s">
        <v>23</v>
      </c>
      <c r="D31" s="4" t="s">
        <v>24</v>
      </c>
      <c r="E31" s="4" t="s">
        <v>15</v>
      </c>
      <c r="F31" s="4" t="s">
        <v>42</v>
      </c>
      <c r="G31" s="4" t="s">
        <v>43</v>
      </c>
      <c r="H31" s="1" t="s">
        <v>30</v>
      </c>
      <c r="I31" s="1">
        <f t="shared" si="0"/>
        <v>0.5</v>
      </c>
      <c r="J31" s="4" t="s">
        <v>19</v>
      </c>
      <c r="K31" s="4">
        <v>72</v>
      </c>
      <c r="L31" s="1" t="s">
        <v>20</v>
      </c>
      <c r="M31" s="4" t="s">
        <v>63</v>
      </c>
    </row>
    <row r="32" spans="1:13" x14ac:dyDescent="0.3">
      <c r="A32" s="3">
        <v>46120</v>
      </c>
      <c r="B32" s="4" t="s">
        <v>28</v>
      </c>
      <c r="C32" s="4" t="s">
        <v>29</v>
      </c>
      <c r="D32" s="4" t="s">
        <v>14</v>
      </c>
      <c r="E32" s="4" t="s">
        <v>15</v>
      </c>
      <c r="F32" s="4" t="s">
        <v>42</v>
      </c>
      <c r="G32" s="4" t="s">
        <v>43</v>
      </c>
      <c r="H32" s="1" t="s">
        <v>18</v>
      </c>
      <c r="I32" s="1">
        <f t="shared" si="0"/>
        <v>1</v>
      </c>
      <c r="J32" s="4" t="s">
        <v>19</v>
      </c>
      <c r="K32" s="4">
        <v>85</v>
      </c>
      <c r="L32" s="1" t="s">
        <v>20</v>
      </c>
      <c r="M32" s="4" t="s">
        <v>45</v>
      </c>
    </row>
    <row r="33" spans="1:13" x14ac:dyDescent="0.3">
      <c r="A33" s="3">
        <v>46120</v>
      </c>
      <c r="B33" s="4" t="s">
        <v>32</v>
      </c>
      <c r="C33" s="4" t="s">
        <v>33</v>
      </c>
      <c r="D33" s="4" t="s">
        <v>24</v>
      </c>
      <c r="E33" s="4" t="s">
        <v>15</v>
      </c>
      <c r="F33" s="4" t="s">
        <v>42</v>
      </c>
      <c r="G33" s="4" t="s">
        <v>43</v>
      </c>
      <c r="H33" s="1" t="s">
        <v>18</v>
      </c>
      <c r="I33" s="1">
        <f t="shared" si="0"/>
        <v>1</v>
      </c>
      <c r="J33" s="4" t="s">
        <v>19</v>
      </c>
      <c r="K33" s="4">
        <v>93</v>
      </c>
      <c r="L33" s="1" t="s">
        <v>20</v>
      </c>
      <c r="M33" s="4" t="s">
        <v>34</v>
      </c>
    </row>
    <row r="34" spans="1:13" x14ac:dyDescent="0.3">
      <c r="A34" s="3">
        <v>46121</v>
      </c>
      <c r="B34" s="4" t="s">
        <v>12</v>
      </c>
      <c r="C34" s="4" t="s">
        <v>13</v>
      </c>
      <c r="D34" s="4" t="s">
        <v>14</v>
      </c>
      <c r="E34" s="4" t="s">
        <v>15</v>
      </c>
      <c r="F34" s="4" t="s">
        <v>47</v>
      </c>
      <c r="G34" s="4" t="s">
        <v>48</v>
      </c>
      <c r="H34" s="1" t="s">
        <v>18</v>
      </c>
      <c r="I34" s="1">
        <f t="shared" si="0"/>
        <v>1</v>
      </c>
      <c r="J34" s="4" t="s">
        <v>37</v>
      </c>
      <c r="K34" s="4">
        <v>88</v>
      </c>
      <c r="L34" s="1" t="s">
        <v>20</v>
      </c>
      <c r="M34" s="4" t="s">
        <v>41</v>
      </c>
    </row>
    <row r="35" spans="1:13" x14ac:dyDescent="0.3">
      <c r="A35" s="3">
        <v>46121</v>
      </c>
      <c r="B35" s="4" t="s">
        <v>22</v>
      </c>
      <c r="C35" s="4" t="s">
        <v>23</v>
      </c>
      <c r="D35" s="4" t="s">
        <v>24</v>
      </c>
      <c r="E35" s="4" t="s">
        <v>15</v>
      </c>
      <c r="F35" s="4" t="s">
        <v>47</v>
      </c>
      <c r="G35" s="4" t="s">
        <v>48</v>
      </c>
      <c r="H35" s="1" t="s">
        <v>18</v>
      </c>
      <c r="I35" s="1">
        <f t="shared" si="0"/>
        <v>1</v>
      </c>
      <c r="J35" s="4" t="s">
        <v>37</v>
      </c>
      <c r="K35" s="4">
        <v>77</v>
      </c>
      <c r="L35" s="1" t="s">
        <v>20</v>
      </c>
      <c r="M35" s="4" t="s">
        <v>51</v>
      </c>
    </row>
    <row r="36" spans="1:13" ht="28.8" x14ac:dyDescent="0.3">
      <c r="A36" s="3">
        <v>46121</v>
      </c>
      <c r="B36" s="4" t="s">
        <v>28</v>
      </c>
      <c r="C36" s="4" t="s">
        <v>29</v>
      </c>
      <c r="D36" s="4" t="s">
        <v>14</v>
      </c>
      <c r="E36" s="4" t="s">
        <v>15</v>
      </c>
      <c r="F36" s="4" t="s">
        <v>47</v>
      </c>
      <c r="G36" s="4" t="s">
        <v>48</v>
      </c>
      <c r="H36" s="1" t="s">
        <v>25</v>
      </c>
      <c r="I36" s="1">
        <f t="shared" si="0"/>
        <v>0</v>
      </c>
      <c r="J36" s="4" t="s">
        <v>37</v>
      </c>
      <c r="K36" s="4">
        <v>59</v>
      </c>
      <c r="L36" s="1" t="s">
        <v>26</v>
      </c>
      <c r="M36" s="4" t="s">
        <v>64</v>
      </c>
    </row>
    <row r="37" spans="1:13" x14ac:dyDescent="0.3">
      <c r="A37" s="3">
        <v>46121</v>
      </c>
      <c r="B37" s="4" t="s">
        <v>32</v>
      </c>
      <c r="C37" s="4" t="s">
        <v>33</v>
      </c>
      <c r="D37" s="4" t="s">
        <v>24</v>
      </c>
      <c r="E37" s="4" t="s">
        <v>15</v>
      </c>
      <c r="F37" s="4" t="s">
        <v>47</v>
      </c>
      <c r="G37" s="4" t="s">
        <v>48</v>
      </c>
      <c r="H37" s="1" t="s">
        <v>18</v>
      </c>
      <c r="I37" s="1">
        <f t="shared" si="0"/>
        <v>1</v>
      </c>
      <c r="J37" s="4" t="s">
        <v>37</v>
      </c>
      <c r="K37" s="4">
        <v>90</v>
      </c>
      <c r="L37" s="1" t="s">
        <v>20</v>
      </c>
      <c r="M37" s="4" t="s">
        <v>34</v>
      </c>
    </row>
    <row r="38" spans="1:13" x14ac:dyDescent="0.3">
      <c r="A38" s="3">
        <v>46122</v>
      </c>
      <c r="B38" s="4" t="s">
        <v>12</v>
      </c>
      <c r="C38" s="4" t="s">
        <v>13</v>
      </c>
      <c r="D38" s="4" t="s">
        <v>14</v>
      </c>
      <c r="E38" s="4" t="s">
        <v>15</v>
      </c>
      <c r="F38" s="4" t="s">
        <v>53</v>
      </c>
      <c r="G38" s="4" t="s">
        <v>54</v>
      </c>
      <c r="H38" s="1" t="s">
        <v>30</v>
      </c>
      <c r="I38" s="1">
        <f t="shared" si="0"/>
        <v>0.5</v>
      </c>
      <c r="J38" s="4" t="s">
        <v>19</v>
      </c>
      <c r="K38" s="4">
        <v>75</v>
      </c>
      <c r="L38" s="1" t="s">
        <v>20</v>
      </c>
      <c r="M38" s="4" t="s">
        <v>65</v>
      </c>
    </row>
    <row r="39" spans="1:13" x14ac:dyDescent="0.3">
      <c r="A39" s="3">
        <v>46122</v>
      </c>
      <c r="B39" s="4" t="s">
        <v>22</v>
      </c>
      <c r="C39" s="4" t="s">
        <v>23</v>
      </c>
      <c r="D39" s="4" t="s">
        <v>24</v>
      </c>
      <c r="E39" s="4" t="s">
        <v>15</v>
      </c>
      <c r="F39" s="4" t="s">
        <v>53</v>
      </c>
      <c r="G39" s="4" t="s">
        <v>54</v>
      </c>
      <c r="H39" s="1" t="s">
        <v>18</v>
      </c>
      <c r="I39" s="1">
        <f t="shared" si="0"/>
        <v>1</v>
      </c>
      <c r="J39" s="4" t="s">
        <v>19</v>
      </c>
      <c r="K39" s="4">
        <v>82</v>
      </c>
      <c r="L39" s="1" t="s">
        <v>20</v>
      </c>
      <c r="M39" s="4" t="s">
        <v>56</v>
      </c>
    </row>
    <row r="40" spans="1:13" x14ac:dyDescent="0.3">
      <c r="A40" s="3">
        <v>46122</v>
      </c>
      <c r="B40" s="4" t="s">
        <v>28</v>
      </c>
      <c r="C40" s="4" t="s">
        <v>29</v>
      </c>
      <c r="D40" s="4" t="s">
        <v>14</v>
      </c>
      <c r="E40" s="4" t="s">
        <v>15</v>
      </c>
      <c r="F40" s="4" t="s">
        <v>53</v>
      </c>
      <c r="G40" s="4" t="s">
        <v>54</v>
      </c>
      <c r="H40" s="1" t="s">
        <v>18</v>
      </c>
      <c r="I40" s="1">
        <f t="shared" si="0"/>
        <v>1</v>
      </c>
      <c r="J40" s="4" t="s">
        <v>19</v>
      </c>
      <c r="K40" s="4">
        <v>86</v>
      </c>
      <c r="L40" s="1" t="s">
        <v>20</v>
      </c>
      <c r="M40" s="4" t="s">
        <v>46</v>
      </c>
    </row>
    <row r="41" spans="1:13" x14ac:dyDescent="0.3">
      <c r="A41" s="3">
        <v>46122</v>
      </c>
      <c r="B41" s="4" t="s">
        <v>32</v>
      </c>
      <c r="C41" s="4" t="s">
        <v>33</v>
      </c>
      <c r="D41" s="4" t="s">
        <v>24</v>
      </c>
      <c r="E41" s="4" t="s">
        <v>15</v>
      </c>
      <c r="F41" s="4" t="s">
        <v>53</v>
      </c>
      <c r="G41" s="4" t="s">
        <v>54</v>
      </c>
      <c r="H41" s="1" t="s">
        <v>18</v>
      </c>
      <c r="I41" s="1">
        <f t="shared" si="0"/>
        <v>1</v>
      </c>
      <c r="J41" s="4" t="s">
        <v>19</v>
      </c>
      <c r="K41" s="4">
        <v>94</v>
      </c>
      <c r="L41" s="1" t="s">
        <v>20</v>
      </c>
      <c r="M41" s="4" t="s">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92B9-382B-4ED6-B09C-2D756D96C3AF}">
  <dimension ref="A1:E5"/>
  <sheetViews>
    <sheetView zoomScale="145" zoomScaleNormal="145" workbookViewId="0">
      <selection activeCell="E18" sqref="E18"/>
    </sheetView>
  </sheetViews>
  <sheetFormatPr defaultRowHeight="14.4" x14ac:dyDescent="0.3"/>
  <cols>
    <col min="1" max="5" width="14.77734375" customWidth="1"/>
  </cols>
  <sheetData>
    <row r="1" spans="1:5" ht="28.8" x14ac:dyDescent="0.3">
      <c r="A1" s="13" t="s">
        <v>1</v>
      </c>
      <c r="B1" s="13" t="s">
        <v>2</v>
      </c>
      <c r="C1" s="13" t="s">
        <v>67</v>
      </c>
      <c r="D1" s="13" t="s">
        <v>68</v>
      </c>
      <c r="E1" s="13" t="s">
        <v>69</v>
      </c>
    </row>
    <row r="2" spans="1:5" x14ac:dyDescent="0.3">
      <c r="A2" s="6" t="s">
        <v>12</v>
      </c>
      <c r="B2" t="str">
        <f>_xlfn.XLOOKUP(A2,AttendanceTable[Student_ID],AttendanceTable[Student_Name])</f>
        <v>Aarav Sharma</v>
      </c>
      <c r="C2">
        <f>COUNTIF(AttendanceTable[Student_ID],Summary!A2)</f>
        <v>10</v>
      </c>
      <c r="D2">
        <f>SUMIF(AttendanceTable[Student_ID],A2,
AttendanceTable[Attendance_Score])</f>
        <v>8</v>
      </c>
      <c r="E2" s="8">
        <f>D2/C2</f>
        <v>0.8</v>
      </c>
    </row>
    <row r="3" spans="1:5" x14ac:dyDescent="0.3">
      <c r="A3" s="7" t="s">
        <v>22</v>
      </c>
      <c r="B3" t="str">
        <f>_xlfn.XLOOKUP(A3,AttendanceTable[Student_ID],AttendanceTable[Student_Name])</f>
        <v>Riya Verma</v>
      </c>
      <c r="C3">
        <f>COUNTIF(AttendanceTable[Student_ID],Summary!A3)</f>
        <v>10</v>
      </c>
      <c r="D3">
        <f>SUMIF(AttendanceTable[Student_ID],A3,
AttendanceTable[Attendance_Score])</f>
        <v>7</v>
      </c>
      <c r="E3" s="8">
        <f t="shared" ref="E3:E5" si="0">D3/C3</f>
        <v>0.7</v>
      </c>
    </row>
    <row r="4" spans="1:5" x14ac:dyDescent="0.3">
      <c r="A4" s="6" t="s">
        <v>28</v>
      </c>
      <c r="B4" t="str">
        <f>_xlfn.XLOOKUP(A4,AttendanceTable[Student_ID],AttendanceTable[Student_Name])</f>
        <v>Kabir Singh</v>
      </c>
      <c r="C4">
        <f>COUNTIF(AttendanceTable[Student_ID],Summary!A4)</f>
        <v>10</v>
      </c>
      <c r="D4">
        <f>SUMIF(AttendanceTable[Student_ID],A4,
AttendanceTable[Attendance_Score])</f>
        <v>7</v>
      </c>
      <c r="E4" s="8">
        <f t="shared" si="0"/>
        <v>0.7</v>
      </c>
    </row>
    <row r="5" spans="1:5" x14ac:dyDescent="0.3">
      <c r="A5" s="7" t="s">
        <v>32</v>
      </c>
      <c r="B5" t="str">
        <f>_xlfn.XLOOKUP(A5,AttendanceTable[Student_ID],AttendanceTable[Student_Name])</f>
        <v>Ananya Jain</v>
      </c>
      <c r="C5">
        <f>COUNTIF(AttendanceTable[Student_ID],Summary!A5)</f>
        <v>10</v>
      </c>
      <c r="D5">
        <f>SUMIF(AttendanceTable[Student_ID],A5,
AttendanceTable[Attendance_Score])</f>
        <v>8.5</v>
      </c>
      <c r="E5" s="8">
        <f t="shared" si="0"/>
        <v>0.85</v>
      </c>
    </row>
  </sheetData>
  <conditionalFormatting sqref="E2:E5">
    <cfRule type="cellIs" dxfId="1" priority="1" operator="lessThan">
      <formula>0.75</formula>
    </cfRule>
    <cfRule type="cellIs" dxfId="0" priority="2" operator="greaterThan">
      <formula>0.75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C9A4-8F2A-4424-9C35-73A10C460ACF}">
  <dimension ref="A1:Q26"/>
  <sheetViews>
    <sheetView showGridLines="0" tabSelected="1" zoomScale="120" zoomScaleNormal="120" workbookViewId="0">
      <selection activeCell="K27" sqref="K27"/>
    </sheetView>
  </sheetViews>
  <sheetFormatPr defaultRowHeight="14.4" x14ac:dyDescent="0.3"/>
  <cols>
    <col min="1" max="1" width="11.88671875" bestFit="1" customWidth="1"/>
    <col min="2" max="2" width="22.109375" bestFit="1" customWidth="1"/>
    <col min="3" max="3" width="14.88671875" bestFit="1" customWidth="1"/>
    <col min="13" max="13" width="12.44140625" bestFit="1" customWidth="1"/>
  </cols>
  <sheetData>
    <row r="1" spans="1:17" ht="14.4" customHeight="1" x14ac:dyDescent="0.3">
      <c r="A1" s="23" t="s">
        <v>77</v>
      </c>
      <c r="B1" s="23"/>
      <c r="C1" s="23"/>
      <c r="D1" s="23"/>
      <c r="E1" s="23"/>
      <c r="F1" s="23"/>
      <c r="G1" s="23"/>
      <c r="H1" s="12"/>
      <c r="I1" s="12"/>
      <c r="J1" s="12"/>
      <c r="K1" s="12"/>
      <c r="L1" s="12"/>
      <c r="M1" s="12"/>
      <c r="N1" s="12"/>
      <c r="O1" s="12"/>
      <c r="P1" s="12"/>
      <c r="Q1" s="12"/>
    </row>
    <row r="2" spans="1:17" ht="14.4" customHeight="1" x14ac:dyDescent="0.3">
      <c r="A2" s="23"/>
      <c r="B2" s="23"/>
      <c r="C2" s="23"/>
      <c r="D2" s="23"/>
      <c r="E2" s="23"/>
      <c r="F2" s="23"/>
      <c r="G2" s="23"/>
      <c r="H2" s="12"/>
      <c r="I2" s="12"/>
      <c r="J2" s="12"/>
      <c r="K2" s="12"/>
      <c r="L2" s="12"/>
      <c r="M2" s="12"/>
      <c r="N2" s="12"/>
      <c r="O2" s="12"/>
      <c r="P2" s="12"/>
      <c r="Q2" s="12"/>
    </row>
    <row r="3" spans="1:17" x14ac:dyDescent="0.3">
      <c r="A3" s="12"/>
      <c r="B3" s="12"/>
      <c r="C3" s="12"/>
      <c r="D3" s="12"/>
      <c r="E3" s="12"/>
      <c r="F3" s="12"/>
      <c r="G3" s="12"/>
      <c r="H3" s="12"/>
      <c r="I3" s="12"/>
      <c r="J3" s="12"/>
      <c r="K3" s="12"/>
      <c r="L3" s="12"/>
      <c r="M3" s="12"/>
      <c r="N3" s="12"/>
      <c r="O3" s="12"/>
      <c r="P3" s="12"/>
      <c r="Q3" s="12"/>
    </row>
    <row r="4" spans="1:17" ht="15" thickBot="1" x14ac:dyDescent="0.35">
      <c r="A4" s="24" t="s">
        <v>70</v>
      </c>
      <c r="B4" s="24"/>
      <c r="C4" s="27" t="s">
        <v>76</v>
      </c>
      <c r="D4" s="27"/>
      <c r="E4" s="28" t="s">
        <v>73</v>
      </c>
      <c r="F4" s="28"/>
      <c r="G4" s="29" t="s">
        <v>74</v>
      </c>
      <c r="H4" s="29"/>
      <c r="I4" s="16" t="s">
        <v>75</v>
      </c>
      <c r="J4" s="16"/>
      <c r="K4" s="12"/>
      <c r="L4" s="12"/>
      <c r="M4" s="12"/>
      <c r="N4" s="12"/>
      <c r="O4" s="12"/>
      <c r="P4" s="12"/>
      <c r="Q4" s="12"/>
    </row>
    <row r="5" spans="1:17" x14ac:dyDescent="0.3">
      <c r="A5" s="25">
        <f>COUNTA(Summary!A:A)-1</f>
        <v>4</v>
      </c>
      <c r="B5" s="19"/>
      <c r="C5" s="17">
        <f>AVERAGE(Summary!E:E)</f>
        <v>0.76250000000000007</v>
      </c>
      <c r="D5" s="17"/>
      <c r="E5" s="19">
        <f>COUNTIF(AttendanceTable[Attendance_Status],"Present")</f>
        <v>27</v>
      </c>
      <c r="F5" s="19"/>
      <c r="G5" s="19">
        <f>COUNTIF(AttendanceTable[Attendance_Status],"Absent")</f>
        <v>6</v>
      </c>
      <c r="H5" s="19"/>
      <c r="I5" s="19">
        <f>AVERAGE(AttendanceTable[Marks])</f>
        <v>79.25</v>
      </c>
      <c r="J5" s="21"/>
      <c r="K5" s="12"/>
      <c r="L5" s="12"/>
      <c r="M5" s="12"/>
      <c r="N5" s="12"/>
      <c r="O5" s="12"/>
      <c r="P5" s="12"/>
      <c r="Q5" s="12"/>
    </row>
    <row r="6" spans="1:17" ht="15" thickBot="1" x14ac:dyDescent="0.35">
      <c r="A6" s="26"/>
      <c r="B6" s="20"/>
      <c r="C6" s="18"/>
      <c r="D6" s="18"/>
      <c r="E6" s="20"/>
      <c r="F6" s="20"/>
      <c r="G6" s="20"/>
      <c r="H6" s="20"/>
      <c r="I6" s="20"/>
      <c r="J6" s="22"/>
      <c r="K6" s="12"/>
      <c r="L6" s="12"/>
      <c r="M6" s="12"/>
      <c r="N6" s="12"/>
      <c r="O6" s="12"/>
      <c r="P6" s="12"/>
      <c r="Q6" s="12"/>
    </row>
    <row r="7" spans="1:17" x14ac:dyDescent="0.3">
      <c r="A7" s="12"/>
      <c r="B7" s="12"/>
      <c r="C7" s="12"/>
      <c r="D7" s="12"/>
      <c r="E7" s="12"/>
      <c r="F7" s="12"/>
      <c r="G7" s="12"/>
      <c r="H7" s="12"/>
      <c r="I7" s="12"/>
      <c r="J7" s="12"/>
      <c r="K7" s="12"/>
      <c r="L7" s="12"/>
      <c r="M7" s="12"/>
      <c r="N7" s="12"/>
      <c r="O7" s="12"/>
      <c r="P7" s="12"/>
      <c r="Q7" s="12"/>
    </row>
    <row r="8" spans="1:17" x14ac:dyDescent="0.3">
      <c r="A8" s="9" t="s">
        <v>5</v>
      </c>
      <c r="B8" t="s">
        <v>71</v>
      </c>
      <c r="C8" t="s">
        <v>72</v>
      </c>
      <c r="D8" s="12"/>
      <c r="E8" s="12"/>
      <c r="F8" s="12"/>
      <c r="G8" s="12"/>
      <c r="H8" s="12"/>
      <c r="I8" s="12"/>
      <c r="J8" s="12"/>
      <c r="K8" s="12"/>
      <c r="L8" s="12"/>
      <c r="M8" s="12"/>
      <c r="N8" s="12"/>
      <c r="O8" s="12"/>
      <c r="P8" s="12"/>
      <c r="Q8" s="12"/>
    </row>
    <row r="9" spans="1:17" x14ac:dyDescent="0.3">
      <c r="A9" s="10" t="s">
        <v>16</v>
      </c>
      <c r="B9">
        <v>5</v>
      </c>
      <c r="C9" s="11">
        <v>75.375</v>
      </c>
      <c r="D9" s="12"/>
      <c r="E9" s="12"/>
      <c r="F9" s="12"/>
      <c r="G9" s="12"/>
      <c r="H9" s="12"/>
      <c r="I9" s="12"/>
      <c r="J9" s="12"/>
      <c r="K9" s="12"/>
      <c r="L9" s="12"/>
      <c r="M9" s="12"/>
      <c r="N9" s="12"/>
      <c r="O9" s="12"/>
      <c r="P9" s="12"/>
      <c r="Q9" s="12"/>
    </row>
    <row r="10" spans="1:17" x14ac:dyDescent="0.3">
      <c r="A10" s="10" t="s">
        <v>53</v>
      </c>
      <c r="B10">
        <v>7</v>
      </c>
      <c r="C10" s="11">
        <v>82.625</v>
      </c>
      <c r="D10" s="12"/>
      <c r="E10" s="12"/>
      <c r="F10" s="12"/>
      <c r="G10" s="12"/>
      <c r="H10" s="12"/>
      <c r="I10" s="12"/>
      <c r="J10" s="12"/>
      <c r="K10" s="12"/>
      <c r="L10" s="12"/>
      <c r="M10" s="12"/>
      <c r="N10" s="12"/>
      <c r="O10" s="12"/>
      <c r="P10" s="12"/>
      <c r="Q10" s="12"/>
    </row>
    <row r="11" spans="1:17" x14ac:dyDescent="0.3">
      <c r="A11" s="10" t="s">
        <v>35</v>
      </c>
      <c r="B11">
        <v>6</v>
      </c>
      <c r="C11" s="11">
        <v>78.875</v>
      </c>
      <c r="D11" s="12"/>
      <c r="E11" s="12"/>
      <c r="F11" s="12"/>
      <c r="G11" s="12"/>
      <c r="H11" s="12"/>
      <c r="I11" s="12"/>
      <c r="J11" s="12"/>
      <c r="K11" s="12"/>
      <c r="L11" s="12"/>
      <c r="M11" s="12"/>
      <c r="N11" s="12"/>
      <c r="O11" s="12"/>
      <c r="P11" s="12"/>
      <c r="Q11" s="12"/>
    </row>
    <row r="12" spans="1:17" x14ac:dyDescent="0.3">
      <c r="A12" s="10" t="s">
        <v>42</v>
      </c>
      <c r="B12">
        <v>7</v>
      </c>
      <c r="C12" s="11">
        <v>82.125</v>
      </c>
      <c r="D12" s="12"/>
      <c r="E12" s="12"/>
      <c r="F12" s="12"/>
      <c r="G12" s="12"/>
      <c r="H12" s="12"/>
      <c r="I12" s="12"/>
      <c r="J12" s="12"/>
      <c r="K12" s="12"/>
      <c r="L12" s="12"/>
      <c r="M12" s="12"/>
      <c r="N12" s="12"/>
      <c r="O12" s="12"/>
      <c r="P12" s="12"/>
      <c r="Q12" s="12"/>
    </row>
    <row r="13" spans="1:17" x14ac:dyDescent="0.3">
      <c r="A13" s="10" t="s">
        <v>47</v>
      </c>
      <c r="B13">
        <v>5.5</v>
      </c>
      <c r="C13" s="11">
        <v>77.25</v>
      </c>
      <c r="D13" s="12"/>
      <c r="E13" s="12"/>
      <c r="F13" s="12"/>
      <c r="G13" s="12"/>
      <c r="H13" s="12"/>
      <c r="I13" s="12"/>
      <c r="J13" s="12"/>
      <c r="K13" s="12"/>
      <c r="L13" s="12"/>
      <c r="M13" s="12"/>
      <c r="N13" s="12"/>
      <c r="O13" s="12"/>
      <c r="P13" s="12"/>
      <c r="Q13" s="12"/>
    </row>
    <row r="14" spans="1:17" x14ac:dyDescent="0.3">
      <c r="A14" s="12"/>
      <c r="B14" s="12"/>
      <c r="C14" s="12"/>
      <c r="D14" s="12"/>
      <c r="E14" s="12"/>
      <c r="F14" s="12"/>
      <c r="G14" s="12"/>
      <c r="H14" s="12"/>
      <c r="I14" s="12"/>
      <c r="J14" s="12"/>
      <c r="K14" s="12"/>
      <c r="L14" s="12"/>
      <c r="M14" s="12"/>
      <c r="N14" s="12"/>
      <c r="O14" s="12"/>
      <c r="P14" s="12"/>
      <c r="Q14" s="12"/>
    </row>
    <row r="15" spans="1:17" x14ac:dyDescent="0.3">
      <c r="A15" s="12"/>
      <c r="B15" s="12"/>
      <c r="C15" s="12"/>
      <c r="D15" s="12"/>
      <c r="E15" s="12"/>
      <c r="F15" s="12"/>
      <c r="G15" s="12"/>
      <c r="H15" s="12"/>
      <c r="I15" s="12"/>
      <c r="J15" s="12"/>
      <c r="K15" s="12"/>
      <c r="L15" s="12"/>
      <c r="M15" s="12"/>
      <c r="N15" s="12"/>
      <c r="O15" s="12"/>
      <c r="P15" s="12"/>
      <c r="Q15" s="12"/>
    </row>
    <row r="16" spans="1:17" x14ac:dyDescent="0.3">
      <c r="A16" s="12"/>
      <c r="B16" s="12"/>
      <c r="C16" s="12"/>
      <c r="D16" s="12"/>
      <c r="E16" s="12"/>
      <c r="F16" s="12"/>
      <c r="G16" s="12"/>
      <c r="H16" s="12"/>
      <c r="I16" s="12"/>
      <c r="J16" s="12"/>
      <c r="K16" s="12"/>
      <c r="L16" s="12"/>
      <c r="M16" s="12"/>
      <c r="N16" s="12"/>
      <c r="O16" s="12"/>
      <c r="P16" s="12"/>
      <c r="Q16" s="12"/>
    </row>
    <row r="17" spans="1:17" x14ac:dyDescent="0.3">
      <c r="A17" s="12"/>
      <c r="B17" s="12"/>
      <c r="C17" s="12"/>
      <c r="D17" s="12"/>
      <c r="E17" s="12"/>
      <c r="F17" s="12"/>
      <c r="G17" s="12"/>
      <c r="H17" s="12"/>
      <c r="I17" s="12"/>
      <c r="J17" s="12"/>
      <c r="K17" s="12"/>
      <c r="L17" s="12"/>
      <c r="M17" s="12"/>
      <c r="N17" s="12"/>
      <c r="O17" s="12"/>
      <c r="P17" s="12"/>
      <c r="Q17" s="12"/>
    </row>
    <row r="18" spans="1:17" x14ac:dyDescent="0.3">
      <c r="A18" s="12"/>
      <c r="B18" s="12"/>
      <c r="C18" s="12"/>
      <c r="D18" s="12"/>
      <c r="E18" s="12"/>
      <c r="F18" s="12"/>
      <c r="G18" s="12"/>
      <c r="H18" s="12"/>
      <c r="I18" s="12"/>
      <c r="J18" s="12"/>
      <c r="K18" s="12"/>
      <c r="L18" s="12"/>
      <c r="M18" s="12"/>
      <c r="N18" s="12"/>
      <c r="O18" s="12"/>
      <c r="P18" s="12"/>
      <c r="Q18" s="12"/>
    </row>
    <row r="19" spans="1:17" x14ac:dyDescent="0.3">
      <c r="A19" s="12"/>
      <c r="B19" s="12"/>
      <c r="C19" s="12"/>
      <c r="D19" s="12"/>
      <c r="E19" s="12"/>
      <c r="F19" s="12"/>
      <c r="G19" s="12"/>
      <c r="H19" s="12"/>
      <c r="I19" s="12"/>
      <c r="J19" s="12"/>
      <c r="K19" s="12"/>
      <c r="L19" s="12"/>
      <c r="M19" s="12"/>
      <c r="N19" s="12"/>
      <c r="O19" s="12"/>
      <c r="P19" s="12"/>
      <c r="Q19" s="12"/>
    </row>
    <row r="20" spans="1:17" x14ac:dyDescent="0.3">
      <c r="A20" s="12"/>
      <c r="B20" s="12"/>
      <c r="C20" s="12"/>
      <c r="D20" s="12"/>
      <c r="E20" s="12"/>
      <c r="F20" s="12"/>
      <c r="G20" s="12"/>
      <c r="H20" s="12"/>
      <c r="I20" s="12"/>
      <c r="J20" s="12"/>
      <c r="K20" s="12"/>
      <c r="L20" s="12"/>
      <c r="M20" s="12"/>
      <c r="N20" s="12"/>
      <c r="O20" s="12"/>
      <c r="P20" s="12"/>
      <c r="Q20" s="12"/>
    </row>
    <row r="21" spans="1:17" x14ac:dyDescent="0.3">
      <c r="A21" s="12"/>
      <c r="B21" s="12"/>
      <c r="C21" s="12"/>
      <c r="D21" s="12"/>
      <c r="E21" s="12"/>
      <c r="F21" s="12"/>
      <c r="G21" s="12"/>
      <c r="H21" s="12"/>
      <c r="I21" s="12"/>
      <c r="J21" s="12"/>
      <c r="K21" s="12"/>
      <c r="L21" s="12"/>
      <c r="M21" s="12"/>
      <c r="N21" s="12"/>
      <c r="O21" s="12"/>
      <c r="P21" s="12"/>
      <c r="Q21" s="12"/>
    </row>
    <row r="22" spans="1:17" x14ac:dyDescent="0.3">
      <c r="A22" s="12"/>
      <c r="B22" s="12"/>
      <c r="C22" s="12"/>
      <c r="D22" s="12"/>
      <c r="E22" s="12"/>
      <c r="F22" s="12"/>
      <c r="G22" s="12"/>
      <c r="H22" s="12"/>
      <c r="I22" s="12"/>
      <c r="J22" s="12"/>
      <c r="K22" s="12"/>
      <c r="L22" s="12"/>
      <c r="M22" s="12"/>
      <c r="N22" s="12"/>
      <c r="O22" s="12"/>
      <c r="P22" s="12"/>
      <c r="Q22" s="12"/>
    </row>
    <row r="23" spans="1:17" x14ac:dyDescent="0.3">
      <c r="A23" s="12"/>
      <c r="B23" s="12"/>
      <c r="C23" s="12"/>
      <c r="D23" s="12"/>
      <c r="E23" s="12"/>
      <c r="F23" s="12"/>
      <c r="G23" s="12"/>
      <c r="H23" s="12"/>
      <c r="I23" s="12"/>
      <c r="J23" s="12"/>
      <c r="K23" s="12"/>
      <c r="L23" s="12"/>
      <c r="M23" s="12"/>
      <c r="N23" s="12"/>
      <c r="O23" s="12"/>
      <c r="P23" s="12"/>
      <c r="Q23" s="12"/>
    </row>
    <row r="26" spans="1:17" x14ac:dyDescent="0.3">
      <c r="A26" s="14" t="s">
        <v>78</v>
      </c>
      <c r="B26" s="15"/>
      <c r="C26" s="15"/>
      <c r="D26" s="15"/>
      <c r="E26" s="15"/>
      <c r="F26" s="15"/>
      <c r="G26" s="15"/>
      <c r="H26" s="15"/>
    </row>
  </sheetData>
  <mergeCells count="12">
    <mergeCell ref="A1:G2"/>
    <mergeCell ref="A4:B4"/>
    <mergeCell ref="A5:B6"/>
    <mergeCell ref="C4:D4"/>
    <mergeCell ref="E4:F4"/>
    <mergeCell ref="G4:H4"/>
    <mergeCell ref="A26:H26"/>
    <mergeCell ref="I4:J4"/>
    <mergeCell ref="C5:D6"/>
    <mergeCell ref="E5:F6"/>
    <mergeCell ref="G5:H6"/>
    <mergeCell ref="I5:J6"/>
  </mergeCells>
  <phoneticPr fontId="4"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Attendance</vt:lpstr>
      <vt:lpstr>Summary</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Gaur</dc:creator>
  <cp:lastModifiedBy>Naman Gaur</cp:lastModifiedBy>
  <dcterms:created xsi:type="dcterms:W3CDTF">2026-05-16T08:33:02Z</dcterms:created>
  <dcterms:modified xsi:type="dcterms:W3CDTF">2026-08-08T05:16:42Z</dcterms:modified>
</cp:coreProperties>
</file>